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learing &amp; analisys ipl_20" sheetId="1" r:id="rId5"/>
  </sheets>
  <definedNames/>
  <calcPr/>
</workbook>
</file>

<file path=xl/sharedStrings.xml><?xml version="1.0" encoding="utf-8"?>
<sst xmlns="http://schemas.openxmlformats.org/spreadsheetml/2006/main" count="449" uniqueCount="308">
  <si>
    <t>Match Number</t>
  </si>
  <si>
    <t>Venue</t>
  </si>
  <si>
    <t>Team Bat First</t>
  </si>
  <si>
    <t>1st Innings Score</t>
  </si>
  <si>
    <t>Team Bat Second</t>
  </si>
  <si>
    <t>2nd Innings Score</t>
  </si>
  <si>
    <t>Result</t>
  </si>
  <si>
    <t>Over by Over Score (1st Innings)</t>
  </si>
  <si>
    <t>Simplified 1st Innings Score (Overs 1-6)</t>
  </si>
  <si>
    <t>score after 1st pp</t>
  </si>
  <si>
    <t>Over by Over Score (2nd Innings)</t>
  </si>
  <si>
    <t>Simplified 2nd Innings Score (Overs 1-6)</t>
  </si>
  <si>
    <t>score after 2nd pp</t>
  </si>
  <si>
    <t xml:space="preserve">Score 1st and 2nd </t>
  </si>
  <si>
    <t>Difference</t>
  </si>
  <si>
    <t xml:space="preserve">winner in powerplay </t>
  </si>
  <si>
    <t xml:space="preserve">winner of the match </t>
  </si>
  <si>
    <t>FINAL RESULT</t>
  </si>
  <si>
    <t>3rd Match (N)</t>
  </si>
  <si>
    <t>Eden Gardens</t>
  </si>
  <si>
    <t>Kolkata Knight Riders</t>
  </si>
  <si>
    <t>208/7</t>
  </si>
  <si>
    <t>Sunrisers Hyderabad</t>
  </si>
  <si>
    <t>(20 ov, T:209) 204/7</t>
  </si>
  <si>
    <t>KKR won by 4 runs</t>
  </si>
  <si>
    <t>[{'Over': '1', 'Runs': '3', 'Wickets': '0'}, {'Over': '2', 'Runs': '23', 'Wickets': '1'}, {'Over': '3', 'Runs': '27', 'Wickets': '1'}, {'Over': '4', 'Runs': '32', 'Wickets': '3'}, {'Over': '5', 'Runs': '39', 'Wickets': '3'}, {'Over': '6', 'Runs': '43', 'Wickets': '3'}, {'Over': '7', 'Runs': '49', 'Wickets': '3'}, {'Over': '8', 'Runs': '53', 'Wickets': '4'}, {'Over': '9', 'Runs': '66', 'Wickets': '4'}, {'Over': '10', 'Runs': '77', 'Wickets': '4'}, {'Over': '11', 'Runs': '91', 'Wickets': '4'}, {'Over': '12', 'Runs': '105', 'Wickets': '4'}, {'Over': '13', 'Runs': '113', 'Wickets': '5'}, {'Over': '14', 'Runs': '119', 'Wickets': '6'}, {'Over': '15', 'Runs': '123', 'Wickets': '6'}, {'Over': '16', 'Runs': '141', 'Wickets': '6'}, {'Over': '17', 'Runs': '159', 'Wickets': '6'}, {'Over': '18', 'Runs': '174', 'Wickets': '6'}, {'Over': '19', 'Runs': '200', 'Wickets': '6'}, {'Over': '20', 'Runs': '208', 'Wickets': '7'}]</t>
  </si>
  <si>
    <t>[{'Over': '1', 'Runs': '12', 'Wickets': '0'}, {'Over': '2', 'Runs': '17', 'Wickets': '0'}, {'Over': '3', 'Runs': '27', 'Wickets': '0'}, {'Over': '4', 'Runs': '40', 'Wickets': '0'}, {'Over': '5', 'Runs': '58', 'Wickets': '0'}, {'Over': '6', 'Runs': '65', 'Wickets': '1'}, {'Over': '7', 'Runs': '67', 'Wickets': '1'}, {'Over': '8', 'Runs': '77', 'Wickets': '2'}, {'Over': '9', 'Runs': '85', 'Wickets': '2'}, {'Over': '10', 'Runs': '99', 'Wickets': '2'}, {'Over': '11', 'Runs': '105', 'Wickets': '2'}, {'Over': '12', 'Runs': '108', 'Wickets': '3'}, {'Over': '13', 'Runs': '111', 'Wickets': '4'}, {'Over': '14', 'Runs': '115', 'Wickets': '4'}, {'Over': '15', 'Runs': '128', 'Wickets': '4'}, {'Over': '16', 'Runs': '133', 'Wickets': '4'}, {'Over': '17', 'Runs': '149', 'Wickets': '5'}, {'Over': '18', 'Runs': '170', 'Wickets': '5'}, {'Over': '19', 'Runs': '196', 'Wickets': '5'}, {'Over': '20', 'Runs': '204', 'Wickets': '7'}]</t>
  </si>
  <si>
    <t>SRH</t>
  </si>
  <si>
    <t>4th Match (D/N)</t>
  </si>
  <si>
    <t>Jaipur</t>
  </si>
  <si>
    <t>Rajasthan Royals</t>
  </si>
  <si>
    <t>193/4</t>
  </si>
  <si>
    <t>Lucknow Super Giants</t>
  </si>
  <si>
    <t>(20 ov, T:194) 173/6</t>
  </si>
  <si>
    <t>RR won by 20 runs</t>
  </si>
  <si>
    <t>[{'Over': '1', 'Runs': '3', 'Wickets': '0'}, {'Over': '2', 'Runs': '13', 'Wickets': '1'}, {'Over': '3', 'Runs': '24', 'Wickets': '1'}, {'Over': '4', 'Runs': '32', 'Wickets': '1'}, {'Over': '5', 'Runs': '49', 'Wickets': '2'}, {'Over': '6', 'Runs': '54', 'Wickets': '2'}, {'Over': '7', 'Runs': '59', 'Wickets': '2'}, {'Over': '8', 'Runs': '63', 'Wickets': '2'}, {'Over': '9', 'Runs': '84', 'Wickets': '2'}, {'Over': '10', 'Runs': '89', 'Wickets': '2'}, {'Over': '11', 'Runs': '104', 'Wickets': '2'}, {'Over': '12', 'Runs': '110', 'Wickets': '2'}, {'Over': '13', 'Runs': '119', 'Wickets': '2'}, {'Over': '14', 'Runs': '128', 'Wickets': '2'}, {'Over': '15', 'Runs': '143', 'Wickets': '3'}, {'Over': '16', 'Runs': '149', 'Wickets': '3'}, {'Over': '17', 'Runs': '158', 'Wickets': '4'}, {'Over': '18', 'Runs': '171', 'Wickets': '4'}, {'Over': '19', 'Runs': '179', 'Wickets': '4'}, {'Over': '20', 'Runs': '193', 'Wickets': '4'}]</t>
  </si>
  <si>
    <t>[{'Over': '1', 'Runs': '4', 'Wickets': '1'}, {'Over': '2', 'Runs': '10', 'Wickets': '1'}, {'Over': '3', 'Runs': '11', 'Wickets': '2'}, {'Over': '4', 'Runs': '22', 'Wickets': '3'}, {'Over': '5', 'Runs': '32', 'Wickets': '3'}, {'Over': '6', 'Runs': '47', 'Wickets': '3'}, {'Over': '7', 'Runs': '57', 'Wickets': '3'}, {'Over': '8', 'Runs': '61', 'Wickets': '4'}, {'Over': '9', 'Runs': '66', 'Wickets': '4'}, {'Over': '10', 'Runs': '76', 'Wickets': '4'}, {'Over': '11', 'Runs': '93', 'Wickets': '4'}, {'Over': '12', 'Runs': '102', 'Wickets': '4'}, {'Over': '13', 'Runs': '122', 'Wickets': '4'}, {'Over': '14', 'Runs': '129', 'Wickets': '4'}, {'Over': '15', 'Runs': '134', 'Wickets': '4'}, {'Over': '16', 'Runs': '145', 'Wickets': '4'}, {'Over': '17', 'Runs': '152', 'Wickets': '5'}, {'Over': '18', 'Runs': '156', 'Wickets': '6'}, {'Over': '19', 'Runs': '167', 'Wickets': '6'}, {'Over': '20', 'Runs': '173', 'Wickets': '6'}]</t>
  </si>
  <si>
    <t>RR</t>
  </si>
  <si>
    <t>7th Match (N)</t>
  </si>
  <si>
    <t>Chennai</t>
  </si>
  <si>
    <t>Chennai Super Kings</t>
  </si>
  <si>
    <t>206/6</t>
  </si>
  <si>
    <t>Gujarat Titans</t>
  </si>
  <si>
    <t>(20 ov, T:207) 143/8</t>
  </si>
  <si>
    <t>CSK won by 63 runs</t>
  </si>
  <si>
    <t>[{'Over': '1', 'Runs': '2', 'Wickets': '0'}, {'Over': '2', 'Runs': '13', 'Wickets': '0'}, {'Over': '3', 'Runs': '25', 'Wickets': '0'}, {'Over': '4', 'Runs': '41', 'Wickets': '0'}, {'Over': '5', 'Runs': '58', 'Wickets': '0'}, {'Over': '6', 'Runs': '69', 'Wickets': '1'}, {'Over': '7', 'Runs': '74', 'Wickets': '1'}, {'Over': '8', 'Runs': '84', 'Wickets': '1'}, {'Over': '9', 'Runs': '92', 'Wickets': '1'}, {'Over': '10', 'Runs': '104', 'Wickets': '1'}, {'Over': '11', 'Runs': '119', 'Wickets': '2'}, {'Over': '12', 'Runs': '126', 'Wickets': '2'}, {'Over': '13', 'Runs': '128', 'Wickets': '3'}, {'Over': '14', 'Runs': '141', 'Wickets': '3'}, {'Over': '15', 'Runs': '155', 'Wickets': '3'}, {'Over': '16', 'Runs': '165', 'Wickets': '3'}, {'Over': '17', 'Runs': '172', 'Wickets': '3'}, {'Over': '18', 'Runs': '183', 'Wickets': '3'}, {'Over': '19', 'Runs': '198', 'Wickets': '4'}, {'Over': '20', 'Runs': '206', 'Wickets': '6'}]</t>
  </si>
  <si>
    <t>[{'Over': '1', 'Runs': '7', 'Wickets': '0'}, {'Over': '2', 'Runs': '17', 'Wickets': '0'}, {'Over': '3', 'Runs': '28', 'Wickets': '1'}, {'Over': '4', 'Runs': '32', 'Wickets': '1'}, {'Over': '5', 'Runs': '35', 'Wickets': '2'}, {'Over': '6', 'Runs': '43', 'Wickets': '2'}, {'Over': '7', 'Runs': '52', 'Wickets': '2'}, {'Over': '8', 'Runs': '57', 'Wickets': '3'}, {'Over': '9', 'Runs': '67', 'Wickets': '3'}, {'Over': '10', 'Runs': '80', 'Wickets': '3'}, {'Over': '11', 'Runs': '93', 'Wickets': '3'}, {'Over': '12', 'Runs': '97', 'Wickets': '4'}, {'Over': '13', 'Runs': '103', 'Wickets': '4'}, {'Over': '14', 'Runs': '110', 'Wickets': '4'}, {'Over': '15', 'Runs': '114', 'Wickets': '5'}, {'Over': '16', 'Runs': '120', 'Wickets': '6'}, {'Over': '17', 'Runs': '121', 'Wickets': '7'}, {'Over': '18', 'Runs': '128', 'Wickets': '7'}, {'Over': '19', 'Runs': '135', 'Wickets': '8'}, {'Over': '20', 'Runs': '143', 'Wickets': '8'}]</t>
  </si>
  <si>
    <t>CSK</t>
  </si>
  <si>
    <t>8th Match (N)</t>
  </si>
  <si>
    <t>Hyderabad</t>
  </si>
  <si>
    <t>277/3</t>
  </si>
  <si>
    <t>Mumbai Indians</t>
  </si>
  <si>
    <t>(20 ov, T:278) 246/5</t>
  </si>
  <si>
    <t>SRH won by 31 runs</t>
  </si>
  <si>
    <t>[{'Over': '1', 'Runs': '7', 'Wickets': '0'}, {'Over': '2', 'Runs': '18', 'Wickets': '0'}, {'Over': '3', 'Runs': '40', 'Wickets': '0'}, {'Over': '4', 'Runs': '45', 'Wickets': '0'}, {'Over': '5', 'Runs': '58', 'Wickets': '1'}, {'Over': '6', 'Runs': '81', 'Wickets': '1'}, {'Over': '7', 'Runs': '102', 'Wickets': '1'}, {'Over': '8', 'Runs': '117', 'Wickets': '2'}, {'Over': '9', 'Runs': '128', 'Wickets': '2'}, {'Over': '10', 'Runs': '148', 'Wickets': '2'}, {'Over': '11', 'Runs': '161', 'Wickets': '3'}, {'Over': '12', 'Runs': '173', 'Wickets': '3'}, {'Over': '13', 'Runs': '180', 'Wickets': '3'}, {'Over': '14', 'Runs': '191', 'Wickets': '3'}, {'Over': '15', 'Runs': '202', 'Wickets': '3'}, {'Over': '16', 'Runs': '214', 'Wickets': '3'}, {'Over': '17', 'Runs': '232', 'Wickets': '3'}, {'Over': '18', 'Runs': '243', 'Wickets': '3'}, {'Over': '19', 'Runs': '256', 'Wickets': '3'}, {'Over': '20', 'Runs': '277', 'Wickets': '3'}]</t>
  </si>
  <si>
    <t>[{'Over': '1', 'Runs': '9', 'Wickets': '0'}, {'Over': '2', 'Runs': '27', 'Wickets': '0'}, {'Over': '3', 'Runs': '50', 'Wickets': '0'}, {'Over': '4', 'Runs': '59', 'Wickets': '1'}, {'Over': '5', 'Runs': '67', 'Wickets': '2'}, {'Over': '6', 'Runs': '76', 'Wickets': '2'}, {'Over': '7', 'Runs': '91', 'Wickets': '2'}, {'Over': '8', 'Runs': '102', 'Wickets': '2'}, {'Over': '9', 'Runs': '119', 'Wickets': '2'}, {'Over': '10', 'Runs': '141', 'Wickets': '2'}, {'Over': '11', 'Runs': '151', 'Wickets': '3'}, {'Over': '12', 'Runs': '165', 'Wickets': '3'}, {'Over': '13', 'Runs': '170', 'Wickets': '3'}, {'Over': '14', 'Runs': '182', 'Wickets': '3'}, {'Over': '15', 'Runs': '185', 'Wickets': '4'}, {'Over': '16', 'Runs': '190', 'Wickets': '4'}, {'Over': '17', 'Runs': '210', 'Wickets': '4'}, {'Over': '18', 'Runs': '224', 'Wickets': '5'}, {'Over': '19', 'Runs': '231', 'Wickets': '5'}, {'Over': '20', 'Runs': '246', 'Wickets': '5'}]</t>
  </si>
  <si>
    <t>9th Match (N)</t>
  </si>
  <si>
    <t>185/5</t>
  </si>
  <si>
    <t>Delhi Capitals</t>
  </si>
  <si>
    <t>(20 ov, T:186) 173/5</t>
  </si>
  <si>
    <t>RR won by 12 runs</t>
  </si>
  <si>
    <t>[{'Over': '1', 'Runs': '4', 'Wickets': '0'}, {'Over': '2', 'Runs': '9', 'Wickets': '1'}, {'Over': '3', 'Runs': '12', 'Wickets': '1'}, {'Over': '4', 'Runs': '26', 'Wickets': '1'}, {'Over': '5', 'Runs': '29', 'Wickets': '1'}, {'Over': '6', 'Runs': '31', 'Wickets': '2'}, {'Over': '7', 'Runs': '35', 'Wickets': '2'}, {'Over': '8', 'Runs': '38', 'Wickets': '3'}, {'Over': '9', 'Runs': '46', 'Wickets': '3'}, {'Over': '10', 'Runs': '58', 'Wickets': '3'}, {'Over': '11', 'Runs': '73', 'Wickets': '3'}, {'Over': '12', 'Runs': '77', 'Wickets': '3'}, {'Over': '13', 'Runs': '88', 'Wickets': '3'}, {'Over': '14', 'Runs': '93', 'Wickets': '4'}, {'Over': '15', 'Runs': '108', 'Wickets': '4'}, {'Over': '16', 'Runs': '123', 'Wickets': '4'}, {'Over': '17', 'Runs': '138', 'Wickets': '4'}, {'Over': '18', 'Runs': '145', 'Wickets': '5'}, {'Over': '19', 'Runs': '160', 'Wickets': '5'}, {'Over': '20', 'Runs': '185', 'Wickets': '5'}]</t>
  </si>
  <si>
    <t>[{'Over': '1', 'Runs': '2', 'Wickets': '0'}, {'Over': '2', 'Runs': '15', 'Wickets': '0'}, {'Over': '3', 'Runs': '29', 'Wickets': '0'}, {'Over': '4', 'Runs': '34', 'Wickets': '2'}, {'Over': '5', 'Runs': '47', 'Wickets': '2'}, {'Over': '6', 'Runs': '59', 'Wickets': '2'}, {'Over': '7', 'Runs': '63', 'Wickets': '2'}, {'Over': '8', 'Runs': '73', 'Wickets': '2'}, {'Over': '9', 'Runs': '80', 'Wickets': '2'}, {'Over': '10', 'Runs': '89', 'Wickets': '2'}, {'Over': '11', 'Runs': '93', 'Wickets': '2'}, {'Over': '12', 'Runs': '99', 'Wickets': '3'}, {'Over': '13', 'Runs': '105', 'Wickets': '3'}, {'Over': '14', 'Runs': '109', 'Wickets': '4'}, {'Over': '15', 'Runs': '120', 'Wickets': '4'}, {'Over': '16', 'Runs': '126', 'Wickets': '5'}, {'Over': '17', 'Runs': '145', 'Wickets': '5'}, {'Over': '18', 'Runs': '154', 'Wickets': '5'}, {'Over': '19', 'Runs': '169', 'Wickets': '5'}, {'Over': '20', 'Runs': '173', 'Wickets': '5'}]</t>
  </si>
  <si>
    <t>DC</t>
  </si>
  <si>
    <t>10th Match (N)</t>
  </si>
  <si>
    <t>Bengaluru</t>
  </si>
  <si>
    <t>Royal Challengers Bengaluru</t>
  </si>
  <si>
    <t>182/6</t>
  </si>
  <si>
    <t>(16.5/20 ov, T:183) 186/3</t>
  </si>
  <si>
    <t>KKR won by 7 wickets (with 19 balls remaining)</t>
  </si>
  <si>
    <t>[{'Over': '1', 'Runs': '7', 'Wickets': '0'}, {'Over': '2', 'Runs': '17', 'Wickets': '1'}, {'Over': '3', 'Runs': '34', 'Wickets': '1'}, {'Over': '4', 'Runs': '43', 'Wickets': '1'}, {'Over': '5', 'Runs': '46', 'Wickets': '1'}, {'Over': '6', 'Runs': '61', 'Wickets': '1'}, {'Over': '7', 'Runs': '64', 'Wickets': '1'}, {'Over': '8', 'Runs': '74', 'Wickets': '1'}, {'Over': '9', 'Runs': '82', 'Wickets': '2'}, {'Over': '10', 'Runs': '85', 'Wickets': '2'}, {'Over': '11', 'Runs': '87', 'Wickets': '2'}, {'Over': '12', 'Runs': '104', 'Wickets': '2'}, {'Over': '13', 'Runs': '109', 'Wickets': '2'}, {'Over': '14', 'Runs': '124', 'Wickets': '2'}, {'Over': '15', 'Runs': '134', 'Wickets': '3'}, {'Over': '16', 'Runs': '141', 'Wickets': '3'}, {'Over': '17', 'Runs': '148', 'Wickets': '4'}, {'Over': '18', 'Runs': '153', 'Wickets': '5'}, {'Over': '19', 'Runs': '166', 'Wickets': '5'}, {'Over': '20', 'Runs': '182', 'Wickets': '6'}]</t>
  </si>
  <si>
    <t>[{'Over': '1', 'Runs': '18', 'Wickets': '0'}, {'Over': '2', 'Runs': '32', 'Wickets': '0'}, {'Over': '3', 'Runs': '46', 'Wickets': '0'}, {'Over': '4', 'Runs': '53', 'Wickets': '0'}, {'Over': '5', 'Runs': '64', 'Wickets': '0'}, {'Over': '6', 'Runs': '85', 'Wickets': '0'}, {'Over': '7', 'Runs': '89', 'Wickets': '1'}, {'Over': '8', 'Runs': '93', 'Wickets': '2'}, {'Over': '9', 'Runs': '104', 'Wickets': '2'}, {'Over': '10', 'Runs': '112', 'Wickets': '2'}, {'Over': '11', 'Runs': '132', 'Wickets': '2'}, {'Over': '12', 'Runs': '137', 'Wickets': '2'}, {'Over': '13', 'Runs': '144', 'Wickets': '2'}, {'Over': '14', 'Runs': '150', 'Wickets': '2'}, {'Over': '15', 'Runs': '167', 'Wickets': '2'}, {'Over': '16', 'Runs': '176', 'Wickets': '3'}, {'Over': '17', 'Runs': '186', 'Wickets': '3'}]</t>
  </si>
  <si>
    <t>KKR</t>
  </si>
  <si>
    <t>11th Match (N)</t>
  </si>
  <si>
    <t>Lucknow</t>
  </si>
  <si>
    <t>199/8</t>
  </si>
  <si>
    <t>Punjab Kings</t>
  </si>
  <si>
    <t>(20 ov, T:200) 178/5</t>
  </si>
  <si>
    <t>LSG won by 21 runs</t>
  </si>
  <si>
    <t>[{'Over': '1', 'Runs': '5', 'Wickets': '0'}, {'Over': '2', 'Runs': '12', 'Wickets': '0'}, {'Over': '3', 'Runs': '23', 'Wickets': '0'}, {'Over': '4', 'Runs': '35', 'Wickets': '1'}, {'Over': '5', 'Runs': '45', 'Wickets': '1'}, {'Over': '6', 'Runs': '54', 'Wickets': '2'}, {'Over': '7', 'Runs': '61', 'Wickets': '2'}, {'Over': '8', 'Runs': '65', 'Wickets': '2'}, {'Over': '9', 'Runs': '80', 'Wickets': '3'}, {'Over': '10', 'Runs': '88', 'Wickets': '3'}, {'Over': '11', 'Runs': '95', 'Wickets': '3'}, {'Over': '12', 'Runs': '115', 'Wickets': '3'}, {'Over': '13', 'Runs': '125', 'Wickets': '3'}, {'Over': '14', 'Runs': '136', 'Wickets': '4'}, {'Over': '15', 'Runs': '146', 'Wickets': '4'}, {'Over': '16', 'Runs': '157', 'Wickets': '5'}, {'Over': '17', 'Runs': '162', 'Wickets': '5'}, {'Over': '18', 'Runs': '182', 'Wickets': '5'}, {'Over': '19', 'Runs': '191', 'Wickets': '7'}, {'Over': '20', 'Runs': '199', 'Wickets': '8'}]</t>
  </si>
  <si>
    <t>[{'Over': '1', 'Runs': '5', 'Wickets': '0'}, {'Over': '2', 'Runs': '16', 'Wickets': '0'}, {'Over': '3', 'Runs': '32', 'Wickets': '0'}, {'Over': '4', 'Runs': '39', 'Wickets': '0'}, {'Over': '5', 'Runs': '45', 'Wickets': '0'}, {'Over': '6', 'Runs': '61', 'Wickets': '0'}, {'Over': '7', 'Runs': '65', 'Wickets': '0'}, {'Over': '8', 'Runs': '73', 'Wickets': '0'}, {'Over': '9', 'Runs': '88', 'Wickets': '0'}, {'Over': '10', 'Runs': '98', 'Wickets': '0'}, {'Over': '11', 'Runs': '101', 'Wickets': '0'}, {'Over': '12', 'Runs': '107', 'Wickets': '1'}, {'Over': '13', 'Runs': '121', 'Wickets': '1'}, {'Over': '14', 'Runs': '129', 'Wickets': '2'}, {'Over': '15', 'Runs': '136', 'Wickets': '2'}, {'Over': '16', 'Runs': '140', 'Wickets': '3'}, {'Over': '17', 'Runs': '144', 'Wickets': '5'}, {'Over': '18', 'Runs': '152', 'Wickets': '5'}, {'Over': '19', 'Runs': '159', 'Wickets': '5'}, {'Over': '20', 'Runs': '178', 'Wickets': '5'}]</t>
  </si>
  <si>
    <t>PBKS</t>
  </si>
  <si>
    <t>13th Match (N)</t>
  </si>
  <si>
    <t>Visakhapatnam</t>
  </si>
  <si>
    <t>191/5</t>
  </si>
  <si>
    <t>(20 ov, T:192) 171/6</t>
  </si>
  <si>
    <t>DC won by 20 runs</t>
  </si>
  <si>
    <t>[{'Over': '1', 'Runs': '7', 'Wickets': '0'}, {'Over': '2', 'Runs': '10', 'Wickets': '0'}, {'Over': '3', 'Runs': '19', 'Wickets': '0'}, {'Over': '4', 'Runs': '24', 'Wickets': '0'}, {'Over': '5', 'Runs': '42', 'Wickets': '0'}, {'Over': '6', 'Runs': '62', 'Wickets': '0'}, {'Over': '7', 'Runs': '75', 'Wickets': '0'}, {'Over': '8', 'Runs': '80', 'Wickets': '0'}, {'Over': '9', 'Runs': '91', 'Wickets': '0'}, {'Over': '10', 'Runs': '95', 'Wickets': '1'}, {'Over': '11', 'Runs': '104', 'Wickets': '2'}, {'Over': '12', 'Runs': '111', 'Wickets': '2'}, {'Over': '13', 'Runs': '121', 'Wickets': '2'}, {'Over': '14', 'Runs': '129', 'Wickets': '2'}, {'Over': '15', 'Runs': '134', 'Wickets': '4'}, {'Over': '16', 'Runs': '143', 'Wickets': '4'}, {'Over': '17', 'Runs': '148', 'Wickets': '4'}, {'Over': '18', 'Runs': '162', 'Wickets': '4'}, {'Over': '19', 'Runs': '179', 'Wickets': '5'}, {'Over': '20', 'Runs': '191', 'Wickets': '5'}]</t>
  </si>
  <si>
    <t>[{'Over': '1', 'Runs': '3', 'Wickets': '1'}, {'Over': '2', 'Runs': '6', 'Wickets': '1'}, {'Over': '3', 'Runs': '7', 'Wickets': '2'}, {'Over': '4', 'Runs': '17', 'Wickets': '2'}, {'Over': '5', 'Runs': '23', 'Wickets': '2'}, {'Over': '6', 'Runs': '32', 'Wickets': '2'}, {'Over': '7', 'Runs': '38', 'Wickets': '2'}, {'Over': '8', 'Runs': '47', 'Wickets': '2'}, {'Over': '9', 'Runs': '58', 'Wickets': '2'}, {'Over': '10', 'Runs': '75', 'Wickets': '2'}, {'Over': '11', 'Runs': '78', 'Wickets': '3'}, {'Over': '12', 'Runs': '92', 'Wickets': '3'}, {'Over': '13', 'Runs': '101', 'Wickets': '3'}, {'Over': '14', 'Runs': '103', 'Wickets': '5'}, {'Over': '15', 'Runs': '113', 'Wickets': '5'}, {'Over': '16', 'Runs': '120', 'Wickets': '5'}, {'Over': '17', 'Runs': '134', 'Wickets': '6'}, {'Over': '18', 'Runs': '146', 'Wickets': '6'}, {'Over': '19', 'Runs': '151', 'Wickets': '6'}, {'Over': '20', 'Runs': '171', 'Wickets': '6'}]</t>
  </si>
  <si>
    <t>15th Match (N)</t>
  </si>
  <si>
    <t>181/5</t>
  </si>
  <si>
    <t>(19.4/20 ov, T:182) 153</t>
  </si>
  <si>
    <t>LSG won by 28 runs</t>
  </si>
  <si>
    <t>[{'Over': '1', 'Runs': '12', 'Wickets': '0'}, {'Over': '2', 'Runs': '19', 'Wickets': '0'}, {'Over': '3', 'Runs': '32', 'Wickets': '0'}, {'Over': '4', 'Runs': '36', 'Wickets': '0'}, {'Over': '5', 'Runs': '46', 'Wickets': '0'}, {'Over': '6', 'Runs': '54', 'Wickets': '1'}, {'Over': '7', 'Runs': '59', 'Wickets': '1'}, {'Over': '8', 'Runs': '62', 'Wickets': '1'}, {'Over': '9', 'Runs': '73', 'Wickets': '2'}, {'Over': '10', 'Runs': '84', 'Wickets': '2'}, {'Over': '11', 'Runs': '90', 'Wickets': '2'}, {'Over': '12', 'Runs': '102', 'Wickets': '2'}, {'Over': '13', 'Runs': '121', 'Wickets': '2'}, {'Over': '14', 'Runs': '129', 'Wickets': '3'}, {'Over': '15', 'Runs': '131', 'Wickets': '3'}, {'Over': '16', 'Runs': '141', 'Wickets': '3'}, {'Over': '17', 'Runs': '143', 'Wickets': '4'}, {'Over': '18', 'Runs': '148', 'Wickets': '5'}, {'Over': '19', 'Runs': '168', 'Wickets': '5'}, {'Over': '20', 'Runs': '181', 'Wickets': '5'}]</t>
  </si>
  <si>
    <t>[{'Over': '1', 'Runs': '3', 'Wickets': '0'}, {'Over': '2', 'Runs': '13', 'Wickets': '0'}, {'Over': '3', 'Runs': '25', 'Wickets': '0'}, {'Over': '4', 'Runs': '36', 'Wickets': '0'}, {'Over': '5', 'Runs': '42', 'Wickets': '1'}, {'Over': '6', 'Runs': '48', 'Wickets': '3'}, {'Over': '7', 'Runs': '54', 'Wickets': '3'}, {'Over': '8', 'Runs': '59', 'Wickets': '4'}, {'Over': '9', 'Runs': '60', 'Wickets': '4'}, {'Over': '10', 'Runs': '63', 'Wickets': '4'}, {'Over': '11', 'Runs': '72', 'Wickets': '4'}, {'Over': '12', 'Runs': '85', 'Wickets': '4'}, {'Over': '13', 'Runs': '94', 'Wickets': '5'}, {'Over': '14', 'Runs': '103', 'Wickets': '5'}, {'Over': '15', 'Runs': '104', 'Wickets': '6'}, {'Over': '16', 'Runs': '123', 'Wickets': '6'}, {'Over': '17', 'Runs': '136', 'Wickets': '7'}, {'Over': '18', 'Runs': '138', 'Wickets': '9'}, {'Over': '19', 'Runs': '152', 'Wickets': '9'}, {'Over': '20', 'Runs': '153', 'Wickets': '10'}]</t>
  </si>
  <si>
    <t>LSG</t>
  </si>
  <si>
    <t>16th Match (N)</t>
  </si>
  <si>
    <t>272/7</t>
  </si>
  <si>
    <t>(17.2/20 ov, T:273) 166</t>
  </si>
  <si>
    <t>KKR won by 106 runs</t>
  </si>
  <si>
    <t>[{'Over': '1', 'Runs': '7', 'Wickets': '0'}, {'Over': '2', 'Runs': '17', 'Wickets': '0'}, {'Over': '3', 'Runs': '32', 'Wickets': '0'}, {'Over': '4', 'Runs': '58', 'Wickets': '0'}, {'Over': '5', 'Runs': '70', 'Wickets': '1'}, {'Over': '6', 'Runs': '88', 'Wickets': '1'}, {'Over': '7', 'Runs': '93', 'Wickets': '1'}, {'Over': '8', 'Runs': '112', 'Wickets': '1'}, {'Over': '9', 'Runs': '126', 'Wickets': '1'}, {'Over': '10', 'Runs': '135', 'Wickets': '1'}, {'Over': '11', 'Runs': '150', 'Wickets': '1'}, {'Over': '12', 'Runs': '162', 'Wickets': '1'}, {'Over': '13', 'Runs': '171', 'Wickets': '2'}, {'Over': '14', 'Runs': '181', 'Wickets': '3'}, {'Over': '15', 'Runs': '195', 'Wickets': '3'}, {'Over': '16', 'Runs': '205', 'Wickets': '3'}, {'Over': '17', 'Runs': '224', 'Wickets': '3'}, {'Over': '18', 'Runs': '239', 'Wickets': '4'}, {'Over': '19', 'Runs': '264', 'Wickets': '5'}, {'Over': '20', 'Runs': '272', 'Wickets': '7'}]</t>
  </si>
  <si>
    <t>[{'Over': '1', 'Runs': '11', 'Wickets': '0'}, {'Over': '2', 'Runs': '21', 'Wickets': '1'}, {'Over': '3', 'Runs': '26', 'Wickets': '2'}, {'Over': '4', 'Runs': '27', 'Wickets': '3'}, {'Over': '5', 'Runs': '40', 'Wickets': '4'}, {'Over': '6', 'Runs': '51', 'Wickets': '4'}, {'Over': '7', 'Runs': '65', 'Wickets': '4'}, {'Over': '8', 'Runs': '70', 'Wickets': '4'}, {'Over': '9', 'Runs': '83', 'Wickets': '4'}, {'Over': '10', 'Runs': '87', 'Wickets': '4'}, {'Over': '11', 'Runs': '97', 'Wickets': '4'}, {'Over': '12', 'Runs': '125', 'Wickets': '4'}, {'Over': '13', 'Runs': '129', 'Wickets': '6'}, {'Over': '14', 'Runs': '148', 'Wickets': '6'}, {'Over': '15', 'Runs': '159', 'Wickets': '7'}, {'Over': '16', 'Runs': '161', 'Wickets': '8'}, {'Over': '17', 'Runs': '166', 'Wickets': '9'}, {'Over': '18', 'Runs': '166', 'Wickets': '10'}]</t>
  </si>
  <si>
    <t>17th Match (N)</t>
  </si>
  <si>
    <t>Ahmedabad</t>
  </si>
  <si>
    <t>199/4</t>
  </si>
  <si>
    <t>(19.5/20 ov, T:200) 200/7</t>
  </si>
  <si>
    <t>PBKS won by 3 wickets (with 1 ball remaining)</t>
  </si>
  <si>
    <t>[{'Over': '1', 'Runs': '7', 'Wickets': '0'}, {'Over': '2', 'Runs': '18', 'Wickets': '0'}, {'Over': '3', 'Runs': '29', 'Wickets': '1'}, {'Over': '4', 'Runs': '35', 'Wickets': '1'}, {'Over': '5', 'Runs': '41', 'Wickets': '1'}, {'Over': '6', 'Runs': '52', 'Wickets': '1'}, {'Over': '7', 'Runs': '57', 'Wickets': '1'}, {'Over': '8', 'Runs': '65', 'Wickets': '1'}, {'Over': '9', 'Runs': '75', 'Wickets': '2'}, {'Over': '10', 'Runs': '83', 'Wickets': '2'}, {'Over': '11', 'Runs': '91', 'Wickets': '2'}, {'Over': '12', 'Runs': '105', 'Wickets': '2'}, {'Over': '13', 'Runs': '119', 'Wickets': '2'}, {'Over': '14', 'Runs': '123', 'Wickets': '3'}, {'Over': '15', 'Runs': '134', 'Wickets': '3'}, {'Over': '16', 'Runs': '141', 'Wickets': '3'}, {'Over': '17', 'Runs': '153', 'Wickets': '3'}, {'Over': '18', 'Runs': '166', 'Wickets': '4'}, {'Over': '19', 'Runs': '186', 'Wickets': '4'}, {'Over': '20', 'Runs': '199', 'Wickets': '4'}]</t>
  </si>
  <si>
    <t>[{'Over': '1', 'Runs': '13', 'Wickets': '0'}, {'Over': '2', 'Runs': '19', 'Wickets': '1'}, {'Over': '3', 'Runs': '27', 'Wickets': '1'}, {'Over': '4', 'Runs': '39', 'Wickets': '1'}, {'Over': '5', 'Runs': '48', 'Wickets': '1'}, {'Over': '6', 'Runs': '54', 'Wickets': '2'}, {'Over': '7', 'Runs': '61', 'Wickets': '2'}, {'Over': '8', 'Runs': '68', 'Wickets': '3'}, {'Over': '9', 'Runs': '73', 'Wickets': '4'}, {'Over': '10', 'Runs': '83', 'Wickets': '4'}, {'Over': '11', 'Runs': '100', 'Wickets': '4'}, {'Over': '12', 'Runs': '110', 'Wickets': '4'}, {'Over': '13', 'Runs': '119', 'Wickets': '5'}, {'Over': '14', 'Runs': '131', 'Wickets': '5'}, {'Over': '15', 'Runs': '138', 'Wickets': '5'}, {'Over': '16', 'Runs': '153', 'Wickets': '6'}, {'Over': '17', 'Runs': '159', 'Wickets': '6'}, {'Over': '18', 'Runs': '175', 'Wickets': '6'}, {'Over': '19', 'Runs': '193', 'Wickets': '6'}, {'Over': '20', 'Runs': '200', 'Wickets': '7'}]</t>
  </si>
  <si>
    <t>19th Match (N)</t>
  </si>
  <si>
    <t>183/3</t>
  </si>
  <si>
    <t>(19.1/20 ov, T:184) 189/4</t>
  </si>
  <si>
    <t>RR won by 6 wickets (with 5 balls remaining)</t>
  </si>
  <si>
    <t>[{'Over': '1', 'Runs': '8', 'Wickets': '0'}, {'Over': '2', 'Runs': '21', 'Wickets': '0'}, {'Over': '3', 'Runs': '29', 'Wickets': '0'}, {'Over': '4', 'Runs': '42', 'Wickets': '0'}, {'Over': '5', 'Runs': '45', 'Wickets': '0'}, {'Over': '6', 'Runs': '53', 'Wickets': '0'}, {'Over': '7', 'Runs': '60', 'Wickets': '0'}, {'Over': '8', 'Runs': '64', 'Wickets': '0'}, {'Over': '9', 'Runs': '79', 'Wickets': '0'}, {'Over': '10', 'Runs': '88', 'Wickets': '0'}, {'Over': '11', 'Runs': '98', 'Wickets': '0'}, {'Over': '12', 'Runs': '107', 'Wickets': '0'}, {'Over': '13', 'Runs': '115', 'Wickets': '0'}, {'Over': '14', 'Runs': '125', 'Wickets': '1'}, {'Over': '15', 'Runs': '129', 'Wickets': '2'}, {'Over': '16', 'Runs': '144', 'Wickets': '2'}, {'Over': '17', 'Runs': '154', 'Wickets': '2'}, {'Over': '18', 'Runs': '165', 'Wickets': '3'}, {'Over': '19', 'Runs': '169', 'Wickets': '3'}, {'Over': '20', 'Runs': '183', 'Wickets': '3'}]</t>
  </si>
  <si>
    <t>[{'Over': '1', 'Runs': '1', 'Wickets': '1'}, {'Over': '2', 'Runs': '9', 'Wickets': '1'}, {'Over': '3', 'Runs': '16', 'Wickets': '1'}, {'Over': '4', 'Runs': '25', 'Wickets': '1'}, {'Over': '5', 'Runs': '34', 'Wickets': '1'}, {'Over': '6', 'Runs': '54', 'Wickets': '1'}, {'Over': '7', 'Runs': '63', 'Wickets': '1'}, {'Over': '8', 'Runs': '77', 'Wickets': '1'}, {'Over': '9', 'Runs': '84', 'Wickets': '1'}, {'Over': '10', 'Runs': '95', 'Wickets': '1'}, {'Over': '11', 'Runs': '109', 'Wickets': '1'}, {'Over': '12', 'Runs': '124', 'Wickets': '1'}, {'Over': '13', 'Runs': '136', 'Wickets': '1'}, {'Over': '14', 'Runs': '145', 'Wickets': '1'}, {'Over': '15', 'Runs': '152', 'Wickets': '2'}, {'Over': '16', 'Runs': '160', 'Wickets': '3'}, {'Over': '17', 'Runs': '170', 'Wickets': '4'}, {'Over': '18', 'Runs': '175', 'Wickets': '4'}, {'Over': '19', 'Runs': '183', 'Wickets': '4'}, {'Over': '20', 'Runs': '189', 'Wickets': '4'}]</t>
  </si>
  <si>
    <t>20th Match (D/N)</t>
  </si>
  <si>
    <t>Wankhede</t>
  </si>
  <si>
    <t>234/5</t>
  </si>
  <si>
    <t>(20 ov, T:235) 205/8</t>
  </si>
  <si>
    <t>MI won by 29 runs</t>
  </si>
  <si>
    <t>[{'Over': '1', 'Runs': '7', 'Wickets': '0'}, {'Over': '2', 'Runs': '21', 'Wickets': '0'}, {'Over': '3', 'Runs': '33', 'Wickets': '0'}, {'Over': '4', 'Runs': '46', 'Wickets': '0'}, {'Over': '5', 'Runs': '60', 'Wickets': '0'}, {'Over': '6', 'Runs': '75', 'Wickets': '0'}, {'Over': '7', 'Runs': '80', 'Wickets': '1'}, {'Over': '8', 'Runs': '84', 'Wickets': '2'}, {'Over': '9', 'Runs': '92', 'Wickets': '2'}, {'Over': '10', 'Runs': '105', 'Wickets': '2'}, {'Over': '11', 'Runs': '113', 'Wickets': '3'}, {'Over': '12', 'Runs': '120', 'Wickets': '3'}, {'Over': '13', 'Runs': '123', 'Wickets': '4'}, {'Over': '14', 'Runs': '131', 'Wickets': '4'}, {'Over': '15', 'Runs': '138', 'Wickets': '4'}, {'Over': '16', 'Runs': '150', 'Wickets': '4'}, {'Over': '17', 'Runs': '167', 'Wickets': '4'}, {'Over': '18', 'Runs': '183', 'Wickets': '5'}, {'Over': '19', 'Runs': '202', 'Wickets': '5'}, {'Over': '20', 'Runs': '234', 'Wickets': '5'}]</t>
  </si>
  <si>
    <t>[{'Over': '1', 'Runs': '7', 'Wickets': '0'}, {'Over': '2', 'Runs': '11', 'Wickets': '0'}, {'Over': '3', 'Runs': '15', 'Wickets': '0'}, {'Over': '4', 'Runs': '24', 'Wickets': '1'}, {'Over': '5', 'Runs': '33', 'Wickets': '1'}, {'Over': '6', 'Runs': '46', 'Wickets': '1'}, {'Over': '7', 'Runs': '53', 'Wickets': '1'}, {'Over': '8', 'Runs': '69', 'Wickets': '1'}, {'Over': '9', 'Runs': '84', 'Wickets': '1'}, {'Over': '10', 'Runs': '94', 'Wickets': '1'}, {'Over': '11', 'Runs': '107', 'Wickets': '1'}, {'Over': '12', 'Runs': '111', 'Wickets': '2'}, {'Over': '13', 'Runs': '127', 'Wickets': '2'}, {'Over': '14', 'Runs': '138', 'Wickets': '2'}, {'Over': '15', 'Runs': '144', 'Wickets': '3'}, {'Over': '16', 'Runs': '153', 'Wickets': '4'}, {'Over': '17', 'Runs': '172', 'Wickets': '4'}, {'Over': '18', 'Runs': '180', 'Wickets': '4'}, {'Over': '19', 'Runs': '201', 'Wickets': '5'}, {'Over': '20', 'Runs': '205', 'Wickets': '8'}]</t>
  </si>
  <si>
    <t>MI</t>
  </si>
  <si>
    <t>23rd Match (N)</t>
  </si>
  <si>
    <t>Mullanpur</t>
  </si>
  <si>
    <t>182/9</t>
  </si>
  <si>
    <t>(20 ov, T:183) 180/6</t>
  </si>
  <si>
    <t>SRH won by 2 runs</t>
  </si>
  <si>
    <t>[{'Over': '1', 'Runs': '4', 'Wickets': '0'}, {'Over': '2', 'Runs': '10', 'Wickets': '0'}, {'Over': '3', 'Runs': '26', 'Wickets': '0'}, {'Over': '4', 'Runs': '28', 'Wickets': '2'}, {'Over': '5', 'Runs': '39', 'Wickets': '3'}, {'Over': '6', 'Runs': '40', 'Wickets': '3'}, {'Over': '7', 'Runs': '47', 'Wickets': '3'}, {'Over': '8', 'Runs': '56', 'Wickets': '3'}, {'Over': '9', 'Runs': '61', 'Wickets': '3'}, {'Over': '10', 'Runs': '66', 'Wickets': '4'}, {'Over': '11', 'Runs': '81', 'Wickets': '4'}, {'Over': '12', 'Runs': '90', 'Wickets': '4'}, {'Over': '13', 'Runs': '100', 'Wickets': '4'}, {'Over': '14', 'Runs': '111', 'Wickets': '5'}, {'Over': '15', 'Runs': '133', 'Wickets': '5'}, {'Over': '16', 'Runs': '146', 'Wickets': '5'}, {'Over': '17', 'Runs': '152', 'Wickets': '7'}, {'Over': '18', 'Runs': '156', 'Wickets': '8'}, {'Over': '19', 'Runs': '171', 'Wickets': '8'}, {'Over': '20', 'Runs': '182', 'Wickets': '9'}]</t>
  </si>
  <si>
    <t>[{'Over': '1', 'Runs': '1', 'Wickets': '0'}, {'Over': '2', 'Runs': '2', 'Wickets': '1'}, {'Over': '3', 'Runs': '11', 'Wickets': '2'}, {'Over': '4', 'Runs': '14', 'Wickets': '2'}, {'Over': '5', 'Runs': '20', 'Wickets': '3'}, {'Over': '6', 'Runs': '27', 'Wickets': '3'}, {'Over': '7', 'Runs': '40', 'Wickets': '3'}, {'Over': '8', 'Runs': '49', 'Wickets': '3'}, {'Over': '9', 'Runs': '58', 'Wickets': '3'}, {'Over': '10', 'Runs': '66', 'Wickets': '4'}, {'Over': '11', 'Runs': '74', 'Wickets': '4'}, {'Over': '12', 'Runs': '84', 'Wickets': '4'}, {'Over': '13', 'Runs': '91', 'Wickets': '4'}, {'Over': '14', 'Runs': '97', 'Wickets': '5'}, {'Over': '15', 'Runs': '105', 'Wickets': '5'}, {'Over': '16', 'Runs': '116', 'Wickets': '6'}, {'Over': '17', 'Runs': '133', 'Wickets': '6'}, {'Over': '18', 'Runs': '144', 'Wickets': '6'}, {'Over': '19', 'Runs': '154', 'Wickets': '6'}, {'Over': '20', 'Runs': '180', 'Wickets': '6'}]</t>
  </si>
  <si>
    <t>24th Match (N)</t>
  </si>
  <si>
    <t>196/3</t>
  </si>
  <si>
    <t>(20 ov, T:197) 199/7</t>
  </si>
  <si>
    <t>GT won by 3 wickets (with 0 balls remaining)</t>
  </si>
  <si>
    <t>[{'Over': '1', 'Runs': '6', 'Wickets': '0'}, {'Over': '2', 'Runs': '13', 'Wickets': '0'}, {'Over': '3', 'Runs': '22', 'Wickets': '0'}, {'Over': '4', 'Runs': '28', 'Wickets': '0'}, {'Over': '5', 'Runs': '41', 'Wickets': '1'}, {'Over': '6', 'Runs': '43', 'Wickets': '2'}, {'Over': '7', 'Runs': '49', 'Wickets': '2'}, {'Over': '8', 'Runs': '52', 'Wickets': '2'}, {'Over': '9', 'Runs': '65', 'Wickets': '2'}, {'Over': '10', 'Runs': '73', 'Wickets': '2'}, {'Over': '11', 'Runs': '82', 'Wickets': '2'}, {'Over': '12', 'Runs': '89', 'Wickets': '2'}, {'Over': '13', 'Runs': '104', 'Wickets': '2'}, {'Over': '14', 'Runs': '118', 'Wickets': '2'}, {'Over': '15', 'Runs': '134', 'Wickets': '2'}, {'Over': '16', 'Runs': '139', 'Wickets': '2'}, {'Over': '17', 'Runs': '154', 'Wickets': '2'}, {'Over': '18', 'Runs': '162', 'Wickets': '2'}, {'Over': '19', 'Runs': '177', 'Wickets': '3'}, {'Over': '20', 'Runs': '196', 'Wickets': '3'}]</t>
  </si>
  <si>
    <t>[{'Over': '1', 'Runs': '5', 'Wickets': '0'}, {'Over': '2', 'Runs': '15', 'Wickets': '0'}, {'Over': '3', 'Runs': '18', 'Wickets': '0'}, {'Over': '4', 'Runs': '26', 'Wickets': '0'}, {'Over': '5', 'Runs': '30', 'Wickets': '0'}, {'Over': '6', 'Runs': '44', 'Wickets': '0'}, {'Over': '7', 'Runs': '51', 'Wickets': '0'}, {'Over': '8', 'Runs': '63', 'Wickets': '0'}, {'Over': '9', 'Runs': '67', 'Wickets': '1'}, {'Over': '10', 'Runs': '76', 'Wickets': '1'}, {'Over': '11', 'Runs': '83', 'Wickets': '3'}, {'Over': '12', 'Runs': '91', 'Wickets': '3'}, {'Over': '13', 'Runs': '102', 'Wickets': '3'}, {'Over': '14', 'Runs': '111', 'Wickets': '4'}, {'Over': '15', 'Runs': '124', 'Wickets': '4'}, {'Over': '16', 'Runs': '138', 'Wickets': '5'}, {'Over': '17', 'Runs': '155', 'Wickets': '5'}, {'Over': '18', 'Runs': '162', 'Wickets': '6'}, {'Over': '19', 'Runs': '182', 'Wickets': '6'}, {'Over': '20', 'Runs': '199', 'Wickets': '7'}]</t>
  </si>
  <si>
    <t>GT</t>
  </si>
  <si>
    <t>25th Match (N)</t>
  </si>
  <si>
    <t>196/8</t>
  </si>
  <si>
    <t>(15.3/20 ov, T:197) 199/3</t>
  </si>
  <si>
    <t>MI won by 7 wickets (with 27 balls remaining)</t>
  </si>
  <si>
    <t>[{'Over': '1', 'Runs': '7', 'Wickets': '0'}, {'Over': '2', 'Runs': '14', 'Wickets': '0'}, {'Over': '3', 'Runs': '18', 'Wickets': '1'}, {'Over': '4', 'Runs': '28', 'Wickets': '2'}, {'Over': '5', 'Runs': '35', 'Wickets': '2'}, {'Over': '6', 'Runs': '44', 'Wickets': '2'}, {'Over': '7', 'Runs': '54', 'Wickets': '2'}, {'Over': '8', 'Runs': '67', 'Wickets': '2'}, {'Over': '9', 'Runs': '76', 'Wickets': '2'}, {'Over': '10', 'Runs': '89', 'Wickets': '2'}, {'Over': '11', 'Runs': '93', 'Wickets': '2'}, {'Over': '12', 'Runs': '107', 'Wickets': '3'}, {'Over': '13', 'Runs': '111', 'Wickets': '4'}, {'Over': '14', 'Runs': '121', 'Wickets': '4'}, {'Over': '15', 'Runs': '130', 'Wickets': '4'}, {'Over': '16', 'Runs': '149', 'Wickets': '4'}, {'Over': '17', 'Runs': '154', 'Wickets': '6'}, {'Over': '18', 'Runs': '168', 'Wickets': '6'}, {'Over': '19', 'Runs': '177', 'Wickets': '8'}, {'Over': '20', 'Runs': '196', 'Wickets': '8'}]</t>
  </si>
  <si>
    <t>[{'Over': '1', 'Runs': '2', 'Wickets': '0'}, {'Over': '2', 'Runs': '9', 'Wickets': '0'}, {'Over': '3', 'Runs': '23', 'Wickets': '0'}, {'Over': '4', 'Runs': '32', 'Wickets': '0'}, {'Over': '5', 'Runs': '55', 'Wickets': '0'}, {'Over': '6', 'Runs': '72', 'Wickets': '0'}, {'Over': '7', 'Runs': '84', 'Wickets': '0'}, {'Over': '8', 'Runs': '92', 'Wickets': '0'}, {'Over': '9', 'Runs': '103', 'Wickets': '1'}, {'Over': '10', 'Runs': '111', 'Wickets': '1'}, {'Over': '11', 'Runs': '135', 'Wickets': '1'}, {'Over': '12', 'Runs': '151', 'Wickets': '2'}, {'Over': '13', 'Runs': '169', 'Wickets': '2'}, {'Over': '14', 'Runs': '181', 'Wickets': '3'}, {'Over': '15', 'Runs': '188', 'Wickets': '3'}, {'Over': '16', 'Runs': '199', 'Wickets': '3'}]</t>
  </si>
  <si>
    <t>29th Match (N)</t>
  </si>
  <si>
    <t>206/4</t>
  </si>
  <si>
    <t>(20 ov, T:207) 186/6</t>
  </si>
  <si>
    <t>CSK won by 20 runs</t>
  </si>
  <si>
    <t>[{'Over': '1', 'Runs': '6', 'Wickets': '0'}, {'Over': '2', 'Runs': '9', 'Wickets': '1'}, {'Over': '3', 'Runs': '18', 'Wickets': '1'}, {'Over': '4', 'Runs': '24', 'Wickets': '1'}, {'Over': '5', 'Runs': '38', 'Wickets': '1'}, {'Over': '6', 'Runs': '48', 'Wickets': '1'}, {'Over': '7', 'Runs': '52', 'Wickets': '1'}, {'Over': '8', 'Runs': '61', 'Wickets': '2'}, {'Over': '9', 'Runs': '65', 'Wickets': '2'}, {'Over': '10', 'Runs': '80', 'Wickets': '2'}, {'Over': '11', 'Runs': '92', 'Wickets': '2'}, {'Over': '12', 'Runs': '102', 'Wickets': '2'}, {'Over': '13', 'Runs': '110', 'Wickets': '2'}, {'Over': '14', 'Runs': '132', 'Wickets': '2'}, {'Over': '15', 'Runs': '149', 'Wickets': '2'}, {'Over': '16', 'Runs': '151', 'Wickets': '3'}, {'Over': '17', 'Runs': '161', 'Wickets': '3'}, {'Over': '18', 'Runs': '173', 'Wickets': '3'}, {'Over': '19', 'Runs': '180', 'Wickets': '3'}, {'Over': '20', 'Runs': '206', 'Wickets': '4'}]</t>
  </si>
  <si>
    <t>[{'Over': '1', 'Runs': '5', 'Wickets': '0'}, {'Over': '2', 'Runs': '13', 'Wickets': '0'}, {'Over': '3', 'Runs': '25', 'Wickets': '0'}, {'Over': '4', 'Runs': '38', 'Wickets': '0'}, {'Over': '5', 'Runs': '53', 'Wickets': '0'}, {'Over': '6', 'Runs': '63', 'Wickets': '0'}, {'Over': '7', 'Runs': '70', 'Wickets': '0'}, {'Over': '8', 'Runs': '75', 'Wickets': '2'}, {'Over': '9', 'Runs': '81', 'Wickets': '2'}, {'Over': '10', 'Runs': '90', 'Wickets': '2'}, {'Over': '11', 'Runs': '108', 'Wickets': '2'}, {'Over': '12', 'Runs': '118', 'Wickets': '2'}, {'Over': '13', 'Runs': '124', 'Wickets': '2'}, {'Over': '14', 'Runs': '130', 'Wickets': '3'}, {'Over': '15', 'Runs': '132', 'Wickets': '3'}, {'Over': '16', 'Runs': '135', 'Wickets': '4'}, {'Over': '17', 'Runs': '154', 'Wickets': '5'}, {'Over': '18', 'Runs': '160', 'Wickets': '6'}, {'Over': '19', 'Runs': '173', 'Wickets': '6'}, {'Over': '20', 'Runs': '186', 'Wickets': '6'}]</t>
  </si>
  <si>
    <t>30th Match (N)</t>
  </si>
  <si>
    <t>287/3</t>
  </si>
  <si>
    <t>(20 ov, T:288) 262/7</t>
  </si>
  <si>
    <t>SRH won by 25 runs</t>
  </si>
  <si>
    <t>[{'Over': '1', 'Runs': '7', 'Wickets': '0'}, {'Over': '2', 'Runs': '27', 'Wickets': '0'}, {'Over': '3', 'Runs': '31', 'Wickets': '0'}, {'Over': '4', 'Runs': '38', 'Wickets': '0'}, {'Over': '5', 'Runs': '56', 'Wickets': '0'}, {'Over': '6', 'Runs': '76', 'Wickets': '0'}, {'Over': '7', 'Runs': '97', 'Wickets': '0'}, {'Over': '8', 'Runs': '108', 'Wickets': '0'}, {'Over': '9', 'Runs': '119', 'Wickets': '1'}, {'Over': '10', 'Runs': '128', 'Wickets': '1'}, {'Over': '11', 'Runs': '142', 'Wickets': '1'}, {'Over': '12', 'Runs': '158', 'Wickets': '1'}, {'Over': '13', 'Runs': '171', 'Wickets': '2'}, {'Over': '14', 'Runs': '189', 'Wickets': '2'}, {'Over': '15', 'Runs': '205', 'Wickets': '2'}, {'Over': '16', 'Runs': '217', 'Wickets': '2'}, {'Over': '17', 'Runs': '231', 'Wickets': '3'}, {'Over': '18', 'Runs': '241', 'Wickets': '3'}, {'Over': '19', 'Runs': '266', 'Wickets': '3'}, {'Over': '20', 'Runs': '287', 'Wickets': '3'}]</t>
  </si>
  <si>
    <t>[{'Over': '1', 'Runs': '10', 'Wickets': '0'}, {'Over': '2', 'Runs': '21', 'Wickets': '0'}, {'Over': '3', 'Runs': '39', 'Wickets': '0'}, {'Over': '4', 'Runs': '56', 'Wickets': '0'}, {'Over': '5', 'Runs': '70', 'Wickets': '0'}, {'Over': '6', 'Runs': '79', 'Wickets': '0'}, {'Over': '7', 'Runs': '84', 'Wickets': '1'}, {'Over': '8', 'Runs': '100', 'Wickets': '2'}, {'Over': '9', 'Runs': '111', 'Wickets': '3'}, {'Over': '10', 'Runs': '122', 'Wickets': '5'}, {'Over': '11', 'Runs': '127', 'Wickets': '5'}, {'Over': '12', 'Runs': '135', 'Wickets': '5'}, {'Over': '13', 'Runs': '160', 'Wickets': '5'}, {'Over': '14', 'Runs': '181', 'Wickets': '5'}, {'Over': '15', 'Runs': '187', 'Wickets': '6'}, {'Over': '16', 'Runs': '199', 'Wickets': '6'}, {'Over': '17', 'Runs': '216', 'Wickets': '6'}, {'Over': '18', 'Runs': '230', 'Wickets': '6'}, {'Over': '19', 'Runs': '244', 'Wickets': '7'}, {'Over': '20', 'Runs': '262', 'Wickets': '7'}]</t>
  </si>
  <si>
    <t>RCB</t>
  </si>
  <si>
    <t>31st Match (N)</t>
  </si>
  <si>
    <t>223/6</t>
  </si>
  <si>
    <t>(20 ov, T:224) 224/8</t>
  </si>
  <si>
    <t>RR won by 2 wickets (with 0 balls remaining)</t>
  </si>
  <si>
    <t>[{'Over': '1', 'Runs': '2', 'Wickets': '0'}, {'Over': '2', 'Runs': '12', 'Wickets': '0'}, {'Over': '3', 'Runs': '20', 'Wickets': '0'}, {'Over': '4', 'Runs': '26', 'Wickets': '1'}, {'Over': '5', 'Runs': '40', 'Wickets': '1'}, {'Over': '6', 'Runs': '56', 'Wickets': '1'}, {'Over': '7', 'Runs': '64', 'Wickets': '1'}, {'Over': '8', 'Runs': '74', 'Wickets': '1'}, {'Over': '9', 'Runs': '89', 'Wickets': '1'}, {'Over': '10', 'Runs': '100', 'Wickets': '1'}, {'Over': '11', 'Runs': '110', 'Wickets': '2'}, {'Over': '12', 'Runs': '125', 'Wickets': '2'}, {'Over': '13', 'Runs': '133', 'Wickets': '3'}, {'Over': '14', 'Runs': '146', 'Wickets': '3'}, {'Over': '15', 'Runs': '161', 'Wickets': '3'}, {'Over': '16', 'Runs': '184', 'Wickets': '3'}, {'Over': '17', 'Runs': '191', 'Wickets': '4'}, {'Over': '18', 'Runs': '198', 'Wickets': '5'}, {'Over': '19', 'Runs': '214', 'Wickets': '5'}, {'Over': '20', 'Runs': '223', 'Wickets': '6'}]</t>
  </si>
  <si>
    <t>[{'Over': '1', 'Runs': '11', 'Wickets': '0'}, {'Over': '2', 'Runs': '23', 'Wickets': '1'}, {'Over': '3', 'Runs': '36', 'Wickets': '1'}, {'Over': '4', 'Runs': '46', 'Wickets': '1'}, {'Over': '5', 'Runs': '53', 'Wickets': '2'}, {'Over': '6', 'Runs': '76', 'Wickets': '2'}, {'Over': '7', 'Runs': '85', 'Wickets': '2'}, {'Over': '8', 'Runs': '98', 'Wickets': '3'}, {'Over': '9', 'Runs': '101', 'Wickets': '4'}, {'Over': '10', 'Runs': '109', 'Wickets': '4'}, {'Over': '11', 'Runs': '115', 'Wickets': '4'}, {'Over': '12', 'Runs': '121', 'Wickets': '4'}, {'Over': '13', 'Runs': '125', 'Wickets': '6'}, {'Over': '14', 'Runs': '128', 'Wickets': '6'}, {'Over': '15', 'Runs': '145', 'Wickets': '6'}, {'Over': '16', 'Runs': '162', 'Wickets': '6'}, {'Over': '17', 'Runs': '178', 'Wickets': '7'}, {'Over': '18', 'Runs': '196', 'Wickets': '8'}, {'Over': '19', 'Runs': '215', 'Wickets': '8'}, {'Over': '20', 'Runs': '224', 'Wickets': '8'}]</t>
  </si>
  <si>
    <t>33rd Match (N)</t>
  </si>
  <si>
    <t>192/7</t>
  </si>
  <si>
    <t>(19.1/20 ov, T:193) 183</t>
  </si>
  <si>
    <t>MI won by 9 runs</t>
  </si>
  <si>
    <t>[{'Over': '1', 'Runs': '7', 'Wickets': '0'}, {'Over': '2', 'Runs': '18', 'Wickets': '0'}, {'Over': '3', 'Runs': '27', 'Wickets': '1'}, {'Over': '4', 'Runs': '36', 'Wickets': '1'}, {'Over': '5', 'Runs': '43', 'Wickets': '1'}, {'Over': '6', 'Runs': '54', 'Wickets': '1'}, {'Over': '7', 'Runs': '58', 'Wickets': '1'}, {'Over': '8', 'Runs': '68', 'Wickets': '1'}, {'Over': '9', 'Runs': '77', 'Wickets': '1'}, {'Over': '10', 'Runs': '86', 'Wickets': '1'}, {'Over': '11', 'Runs': '96', 'Wickets': '1'}, {'Over': '12', 'Runs': '101', 'Wickets': '2'}, {'Over': '13', 'Runs': '109', 'Wickets': '2'}, {'Over': '14', 'Runs': '115', 'Wickets': '2'}, {'Over': '15', 'Runs': '130', 'Wickets': '2'}, {'Over': '16', 'Runs': '148', 'Wickets': '2'}, {'Over': '17', 'Runs': '156', 'Wickets': '3'}, {'Over': '18', 'Runs': '167', 'Wickets': '4'}, {'Over': '19', 'Runs': '185', 'Wickets': '4'}, {'Over': '20', 'Runs': '192', 'Wickets': '7'}]</t>
  </si>
  <si>
    <t>[{'Over': '1', 'Runs': '12', 'Wickets': '1'}, {'Over': '2', 'Runs': '14', 'Wickets': '3'}, {'Over': '3', 'Runs': '21', 'Wickets': '4'}, {'Over': '4', 'Runs': '28', 'Wickets': '4'}, {'Over': '5', 'Runs': '39', 'Wickets': '4'}, {'Over': '6', 'Runs': '40', 'Wickets': '4'}, {'Over': '7', 'Runs': '50', 'Wickets': '5'}, {'Over': '8', 'Runs': '60', 'Wickets': '5'}, {'Over': '9', 'Runs': '76', 'Wickets': '5'}, {'Over': '10', 'Runs': '87', 'Wickets': '6'}, {'Over': '11', 'Runs': '100', 'Wickets': '6'}, {'Over': '12', 'Runs': '111', 'Wickets': '6'}, {'Over': '13', 'Runs': '120', 'Wickets': '7'}, {'Over': '14', 'Runs': '128', 'Wickets': '7'}, {'Over': '15', 'Runs': '141', 'Wickets': '7'}, {'Over': '16', 'Runs': '165', 'Wickets': '7'}, {'Over': '17', 'Runs': '168', 'Wickets': '7'}, {'Over': '18', 'Runs': '170', 'Wickets': '8'}, {'Over': '19', 'Runs': '181', 'Wickets': '9'}, {'Over': '20', 'Runs': '183', 'Wickets': '10'}]</t>
  </si>
  <si>
    <t>35th Match (N)</t>
  </si>
  <si>
    <t>Delhi</t>
  </si>
  <si>
    <t>266/7</t>
  </si>
  <si>
    <t>(19.1/20 ov, T:267) 199</t>
  </si>
  <si>
    <t>SRH won by 67 runs</t>
  </si>
  <si>
    <t>[{'Over': '1', 'Runs': '19', 'Wickets': '0'}, {'Over': '2', 'Runs': '40', 'Wickets': '0'}, {'Over': '3', 'Runs': '62', 'Wickets': '0'}, {'Over': '4', 'Runs': '83', 'Wickets': '0'}, {'Over': '5', 'Runs': '103', 'Wickets': '0'}, {'Over': '6', 'Runs': '125', 'Wickets': '0'}, {'Over': '7', 'Runs': '133', 'Wickets': '2'}, {'Over': '8', 'Runs': '138', 'Wickets': '2'}, {'Over': '9', 'Runs': '154', 'Wickets': '3'}, {'Over': '10', 'Runs': '158', 'Wickets': '4'}, {'Over': '11', 'Runs': '162', 'Wickets': '4'}, {'Over': '12', 'Runs': '175', 'Wickets': '4'}, {'Over': '13', 'Runs': '184', 'Wickets': '4'}, {'Over': '14', 'Runs': '194', 'Wickets': '4'}, {'Over': '15', 'Runs': '205', 'Wickets': '4'}, {'Over': '16', 'Runs': '210', 'Wickets': '4'}, {'Over': '17', 'Runs': '221', 'Wickets': '5'}, {'Over': '18', 'Runs': '230', 'Wickets': '5'}, {'Over': '19', 'Runs': '250', 'Wickets': '5'}, {'Over': '20', 'Runs': '266', 'Wickets': '7'}]</t>
  </si>
  <si>
    <t>[{'Over': '1', 'Runs': '16', 'Wickets': '1'}, {'Over': '2', 'Runs': '25', 'Wickets': '2'}, {'Over': '3', 'Runs': '55', 'Wickets': '2'}, {'Over': '4', 'Runs': '61', 'Wickets': '2'}, {'Over': '5', 'Runs': '81', 'Wickets': '2'}, {'Over': '6', 'Runs': '88', 'Wickets': '2'}, {'Over': '7', 'Runs': '109', 'Wickets': '3'}, {'Over': '8', 'Runs': '131', 'Wickets': '3'}, {'Over': '9', 'Runs': '136', 'Wickets': '4'}, {'Over': '10', 'Runs': '138', 'Wickets': '4'}, {'Over': '11', 'Runs': '143', 'Wickets': '4'}, {'Over': '12', 'Runs': '153', 'Wickets': '4'}, {'Over': '13', 'Runs': '157', 'Wickets': '5'}, {'Over': '14', 'Runs': '159', 'Wickets': '5'}, {'Over': '15', 'Runs': '166', 'Wickets': '6'}, {'Over': '16', 'Runs': '179', 'Wickets': '6'}, {'Over': '17', 'Runs': '188', 'Wickets': '6'}, {'Over': '18', 'Runs': '199', 'Wickets': '6'}, {'Over': '19', 'Runs': '199', 'Wickets': '9'}, {'Over': '20', 'Runs': '199', 'Wickets': '10'}]</t>
  </si>
  <si>
    <t>36th Match (D/N)</t>
  </si>
  <si>
    <t>222/6</t>
  </si>
  <si>
    <t>(20 ov, T:223) 221</t>
  </si>
  <si>
    <t>KKR won by 1 run</t>
  </si>
  <si>
    <t>[{'Over': '1', 'Runs': '12', 'Wickets': '0'}, {'Over': '2', 'Runs': '23', 'Wickets': '0'}, {'Over': '3', 'Runs': '27', 'Wickets': '0'}, {'Over': '4', 'Runs': '55', 'Wickets': '0'}, {'Over': '5', 'Runs': '63', 'Wickets': '1'}, {'Over': '6', 'Runs': '75', 'Wickets': '3'}, {'Over': '7', 'Runs': '83', 'Wickets': '3'}, {'Over': '8', 'Runs': '93', 'Wickets': '3'}, {'Over': '9', 'Runs': '102', 'Wickets': '4'}, {'Over': '10', 'Runs': '107', 'Wickets': '4'}, {'Over': '11', 'Runs': '114', 'Wickets': '4'}, {'Over': '12', 'Runs': '126', 'Wickets': '4'}, {'Over': '13', 'Runs': '137', 'Wickets': '4'}, {'Over': '14', 'Runs': '142', 'Wickets': '5'}, {'Over': '15', 'Runs': '149', 'Wickets': '5'}, {'Over': '16', 'Runs': '155', 'Wickets': '5'}, {'Over': '17', 'Runs': '177', 'Wickets': '5'}, {'Over': '18', 'Runs': '186', 'Wickets': '6'}, {'Over': '19', 'Runs': '206', 'Wickets': '6'}, {'Over': '20', 'Runs': '222', 'Wickets': '6'}]</t>
  </si>
  <si>
    <t>[{'Over': '1', 'Runs': '12', 'Wickets': '0'}, {'Over': '2', 'Runs': '27', 'Wickets': '0'}, {'Over': '3', 'Runs': '35', 'Wickets': '1'}, {'Over': '4', 'Runs': '45', 'Wickets': '2'}, {'Over': '5', 'Runs': '52', 'Wickets': '2'}, {'Over': '6', 'Runs': '74', 'Wickets': '2'}, {'Over': '7', 'Runs': '78', 'Wickets': '2'}, {'Over': '8', 'Runs': '89', 'Wickets': '2'}, {'Over': '9', 'Runs': '100', 'Wickets': '2'}, {'Over': '10', 'Runs': '122', 'Wickets': '2'}, {'Over': '11', 'Runs': '137', 'Wickets': '2'}, {'Over': '12', 'Runs': '145', 'Wickets': '4'}, {'Over': '13', 'Runs': '155', 'Wickets': '6'}, {'Over': '14', 'Runs': '164', 'Wickets': '6'}, {'Over': '15', 'Runs': '174', 'Wickets': '6'}, {'Over': '16', 'Runs': '181', 'Wickets': '6'}, {'Over': '17', 'Runs': '186', 'Wickets': '6'}, {'Over': '18', 'Runs': '192', 'Wickets': '7'}, {'Over': '19', 'Runs': '202', 'Wickets': '8'}, {'Over': '20', 'Runs': '221', 'Wickets': '10'}]</t>
  </si>
  <si>
    <t>39th Match (N)</t>
  </si>
  <si>
    <t>210/4</t>
  </si>
  <si>
    <t>(19.3/20 ov, T:211) 213/4</t>
  </si>
  <si>
    <t>LSG won by 6 wickets (with 3 balls remaining)</t>
  </si>
  <si>
    <t>[{'Over': '1', 'Runs': '4', 'Wickets': '1'}, {'Over': '2', 'Runs': '20', 'Wickets': '1'}, {'Over': '3', 'Runs': '25', 'Wickets': '1'}, {'Over': '4', 'Runs': '37', 'Wickets': '1'}, {'Over': '5', 'Runs': '48', 'Wickets': '1'}, {'Over': '6', 'Runs': '49', 'Wickets': '2'}, {'Over': '7', 'Runs': '56', 'Wickets': '2'}, {'Over': '8', 'Runs': '66', 'Wickets': '2'}, {'Over': '9', 'Runs': '74', 'Wickets': '2'}, {'Over': '10', 'Runs': '85', 'Wickets': '2'}, {'Over': '11', 'Runs': '93', 'Wickets': '2'}, {'Over': '12', 'Runs': '102', 'Wickets': '3'}, {'Over': '13', 'Runs': '111', 'Wickets': '3'}, {'Over': '14', 'Runs': '119', 'Wickets': '3'}, {'Over': '15', 'Runs': '135', 'Wickets': '3'}, {'Over': '16', 'Runs': '154', 'Wickets': '3'}, {'Over': '17', 'Runs': '162', 'Wickets': '3'}, {'Over': '18', 'Runs': '178', 'Wickets': '3'}, {'Over': '19', 'Runs': '195', 'Wickets': '3'}, {'Over': '20', 'Runs': '210', 'Wickets': '4'}]</t>
  </si>
  <si>
    <t>[{'Over': '1', 'Runs': '1', 'Wickets': '1'}, {'Over': '2', 'Runs': '11', 'Wickets': '1'}, {'Over': '3', 'Runs': '21', 'Wickets': '1'}, {'Over': '4', 'Runs': '29', 'Wickets': '1'}, {'Over': '5', 'Runs': '33', 'Wickets': '2'}, {'Over': '6', 'Runs': '45', 'Wickets': '2'}, {'Over': '7', 'Runs': '51', 'Wickets': '2'}, {'Over': '8', 'Runs': '63', 'Wickets': '2'}, {'Over': '9', 'Runs': '78', 'Wickets': '2'}, {'Over': '10', 'Runs': '83', 'Wickets': '2'}, {'Over': '11', 'Runs': '88', 'Wickets': '3'}, {'Over': '12', 'Runs': '98', 'Wickets': '3'}, {'Over': '13', 'Runs': '115', 'Wickets': '3'}, {'Over': '14', 'Runs': '124', 'Wickets': '3'}, {'Over': '15', 'Runs': '137', 'Wickets': '3'}, {'Over': '16', 'Runs': '157', 'Wickets': '3'}, {'Over': '17', 'Runs': '164', 'Wickets': '4'}, {'Over': '18', 'Runs': '179', 'Wickets': '4'}, {'Over': '19', 'Runs': '194', 'Wickets': '4'}, {'Over': '20', 'Runs': '213', 'Wickets': '4'}]</t>
  </si>
  <si>
    <t>40th Match (N)</t>
  </si>
  <si>
    <t>224/4</t>
  </si>
  <si>
    <t>(20 ov, T:225) 220/8</t>
  </si>
  <si>
    <t>DC won by 4 runs</t>
  </si>
  <si>
    <t>[{'Over': '1', 'Runs': '10', 'Wickets': '0'}, {'Over': '2', 'Runs': '22', 'Wickets': '0'}, {'Over': '3', 'Runs': '34', 'Wickets': '0'}, {'Over': '4', 'Runs': '36', 'Wickets': '2'}, {'Over': '5', 'Runs': '43', 'Wickets': '2'}, {'Over': '6', 'Runs': '44', 'Wickets': '3'}, {'Over': '7', 'Runs': '49', 'Wickets': '3'}, {'Over': '8', 'Runs': '59', 'Wickets': '3'}, {'Over': '9', 'Runs': '68', 'Wickets': '3'}, {'Over': '10', 'Runs': '80', 'Wickets': '3'}, {'Over': '11', 'Runs': '93', 'Wickets': '3'}, {'Over': '12', 'Runs': '105', 'Wickets': '3'}, {'Over': '13', 'Runs': '111', 'Wickets': '3'}, {'Over': '14', 'Runs': '120', 'Wickets': '3'}, {'Over': '15', 'Runs': '127', 'Wickets': '3'}, {'Over': '16', 'Runs': '143', 'Wickets': '3'}, {'Over': '17', 'Runs': '157', 'Wickets': '4'}, {'Over': '18', 'Runs': '171', 'Wickets': '4'}, {'Over': '19', 'Runs': '193', 'Wickets': '4'}, {'Over': '20', 'Runs': '224', 'Wickets': '4'}]</t>
  </si>
  <si>
    <t>[{'Over': '1', 'Runs': '9', 'Wickets': '0'}, {'Over': '2', 'Runs': '24', 'Wickets': '1'}, {'Over': '3', 'Runs': '41', 'Wickets': '1'}, {'Over': '4', 'Runs': '50', 'Wickets': '1'}, {'Over': '5', 'Runs': '60', 'Wickets': '1'}, {'Over': '6', 'Runs': '67', 'Wickets': '1'}, {'Over': '7', 'Runs': '71', 'Wickets': '1'}, {'Over': '8', 'Runs': '79', 'Wickets': '1'}, {'Over': '9', 'Runs': '92', 'Wickets': '1'}, {'Over': '10', 'Runs': '98', 'Wickets': '2'}, {'Over': '11', 'Runs': '109', 'Wickets': '3'}, {'Over': '12', 'Runs': '119', 'Wickets': '3'}, {'Over': '13', 'Runs': '127', 'Wickets': '4'}, {'Over': '14', 'Runs': '139', 'Wickets': '4'}, {'Over': '15', 'Runs': '147', 'Wickets': '5'}, {'Over': '16', 'Runs': '152', 'Wickets': '6'}, {'Over': '17', 'Runs': '176', 'Wickets': '6'}, {'Over': '18', 'Runs': '188', 'Wickets': '7'}, {'Over': '19', 'Runs': '206', 'Wickets': '8'}, {'Over': '20', 'Runs': '220', 'Wickets': '8'}]</t>
  </si>
  <si>
    <t>41st Match (N)</t>
  </si>
  <si>
    <t>206/7</t>
  </si>
  <si>
    <t>(20 ov, T:207) 171/8</t>
  </si>
  <si>
    <t>RCB won by 35 runs</t>
  </si>
  <si>
    <t>[{'Over': '1', 'Runs': '10', 'Wickets': '0'}, {'Over': '2', 'Runs': '24', 'Wickets': '0'}, {'Over': '3', 'Runs': '43', 'Wickets': '0'}, {'Over': '4', 'Runs': '49', 'Wickets': '1'}, {'Over': '5', 'Runs': '51', 'Wickets': '1'}, {'Over': '6', 'Runs': '61', 'Wickets': '1'}, {'Over': '7', 'Runs': '65', 'Wickets': '2'}, {'Over': '8', 'Runs': '73', 'Wickets': '2'}, {'Over': '9', 'Runs': '84', 'Wickets': '2'}, {'Over': '10', 'Runs': '94', 'Wickets': '2'}, {'Over': '11', 'Runs': '121', 'Wickets': '2'}, {'Over': '12', 'Runs': '127', 'Wickets': '2'}, {'Over': '13', 'Runs': '132', 'Wickets': '3'}, {'Over': '14', 'Runs': '136', 'Wickets': '3'}, {'Over': '15', 'Runs': '142', 'Wickets': '4'}, {'Over': '16', 'Runs': '157', 'Wickets': '4'}, {'Over': '17', 'Runs': '167', 'Wickets': '5'}, {'Over': '18', 'Runs': '179', 'Wickets': '5'}, {'Over': '19', 'Runs': '194', 'Wickets': '6'}, {'Over': '20', 'Runs': '206', 'Wickets': '7'}]</t>
  </si>
  <si>
    <t>[{'Over': '1', 'Runs': '3', 'Wickets': '1'}, {'Over': '2', 'Runs': '11', 'Wickets': '1'}, {'Over': '3', 'Runs': '31', 'Wickets': '1'}, {'Over': '4', 'Runs': '37', 'Wickets': '2'}, {'Over': '5', 'Runs': '56', 'Wickets': '4'}, {'Over': '6', 'Runs': '62', 'Wickets': '4'}, {'Over': '7', 'Runs': '68', 'Wickets': '4'}, {'Over': '8', 'Runs': '72', 'Wickets': '5'}, {'Over': '9', 'Runs': '85', 'Wickets': '5'}, {'Over': '10', 'Runs': '89', 'Wickets': '6'}, {'Over': '11', 'Runs': '104', 'Wickets': '6'}, {'Over': '12', 'Runs': '119', 'Wickets': '6'}, {'Over': '13', 'Runs': '123', 'Wickets': '6'}, {'Over': '14', 'Runs': '126', 'Wickets': '7'}, {'Over': '15', 'Runs': '132', 'Wickets': '7'}, {'Over': '16', 'Runs': '141', 'Wickets': '8'}, {'Over': '17', 'Runs': '144', 'Wickets': '8'}, {'Over': '18', 'Runs': '159', 'Wickets': '8'}, {'Over': '19', 'Runs': '163', 'Wickets': '8'}, {'Over': '20', 'Runs': '171', 'Wickets': '8'}]</t>
  </si>
  <si>
    <t>42nd Match (N)</t>
  </si>
  <si>
    <t>261/6</t>
  </si>
  <si>
    <t>(18.4/20 ov, T:262) 262/2</t>
  </si>
  <si>
    <t>PBKS won by 8 wickets (with 8 balls remaining)</t>
  </si>
  <si>
    <t>[{'Over': '1', 'Runs': '7', 'Wickets': '0'}, {'Over': '2', 'Runs': '20', 'Wickets': '0'}, {'Over': '3', 'Runs': '38', 'Wickets': '0'}, {'Over': '4', 'Runs': '59', 'Wickets': '0'}, {'Over': '5', 'Runs': '70', 'Wickets': '0'}, {'Over': '6', 'Runs': '76', 'Wickets': '0'}, {'Over': '7', 'Runs': '83', 'Wickets': '0'}, {'Over': '8', 'Runs': '105', 'Wickets': '0'}, {'Over': '9', 'Runs': '118', 'Wickets': '0'}, {'Over': '10', 'Runs': '137', 'Wickets': '0'}, {'Over': '11', 'Runs': '144', 'Wickets': '1'}, {'Over': '12', 'Runs': '151', 'Wickets': '1'}, {'Over': '13', 'Runs': '169', 'Wickets': '2'}, {'Over': '14', 'Runs': '176', 'Wickets': '2'}, {'Over': '15', 'Runs': '190', 'Wickets': '2'}, {'Over': '16', 'Runs': '206', 'Wickets': '3'}, {'Over': '17', 'Runs': '215', 'Wickets': '3'}, {'Over': '18', 'Runs': '239', 'Wickets': '3'}, {'Over': '19', 'Runs': '249', 'Wickets': '4'}, {'Over': '20', 'Runs': '261', 'Wickets': '6'}]</t>
  </si>
  <si>
    <t>[{'Over': '1', 'Runs': '8', 'Wickets': '0'}, {'Over': '2', 'Runs': '22', 'Wickets': '0'}, {'Over': '3', 'Runs': '45', 'Wickets': '0'}, {'Over': '4', 'Runs': '57', 'Wickets': '0'}, {'Over': '5', 'Runs': '69', 'Wickets': '0'}, {'Over': '6', 'Runs': '93', 'Wickets': '1'}, {'Over': '7', 'Runs': '94', 'Wickets': '1'}, {'Over': '8', 'Runs': '108', 'Wickets': '1'}, {'Over': '9', 'Runs': '120', 'Wickets': '1'}, {'Over': '10', 'Runs': '132', 'Wickets': '1'}, {'Over': '11', 'Runs': '149', 'Wickets': '1'}, {'Over': '12', 'Runs': '173', 'Wickets': '1'}, {'Over': '13', 'Runs': '179', 'Wickets': '2'}, {'Over': '14', 'Runs': '196', 'Wickets': '2'}, {'Over': '15', 'Runs': '201', 'Wickets': '2'}, {'Over': '16', 'Runs': '210', 'Wickets': '2'}, {'Over': '17', 'Runs': '228', 'Wickets': '2'}, {'Over': '18', 'Runs': '253', 'Wickets': '2'}, {'Over': '19', 'Runs': '262', 'Wickets': '2'}]</t>
  </si>
  <si>
    <t>43rd Match (D/N)</t>
  </si>
  <si>
    <t>257/4</t>
  </si>
  <si>
    <t>(20 ov, T:258) 247/9</t>
  </si>
  <si>
    <t>DC won by 10 runs</t>
  </si>
  <si>
    <t>[{'Over': '1', 'Runs': '19', 'Wickets': '0'}, {'Over': '2', 'Runs': '37', 'Wickets': '0'}, {'Over': '3', 'Runs': '55', 'Wickets': '0'}, {'Over': '4', 'Runs': '69', 'Wickets': '0'}, {'Over': '5', 'Runs': '89', 'Wickets': '0'}, {'Over': '6', 'Runs': '92', 'Wickets': '0'}, {'Over': '7', 'Runs': '113', 'Wickets': '0'}, {'Over': '8', 'Runs': '116', 'Wickets': '1'}, {'Over': '9', 'Runs': '124', 'Wickets': '1'}, {'Over': '10', 'Runs': '128', 'Wickets': '2'}, {'Over': '11', 'Runs': '138', 'Wickets': '2'}, {'Over': '12', 'Runs': '154', 'Wickets': '2'}, {'Over': '13', 'Runs': '166', 'Wickets': '2'}, {'Over': '14', 'Runs': '181', 'Wickets': '3'}, {'Over': '15', 'Runs': '190', 'Wickets': '3'}, {'Over': '16', 'Runs': '199', 'Wickets': '3'}, {'Over': '17', 'Runs': '208', 'Wickets': '3'}, {'Over': '18', 'Runs': '234', 'Wickets': '3'}, {'Over': '19', 'Runs': '240', 'Wickets': '4'}, {'Over': '20', 'Runs': '257', 'Wickets': '4'}]</t>
  </si>
  <si>
    <t>[{'Over': '1', 'Runs': '14', 'Wickets': '0'}, {'Over': '2', 'Runs': '29', 'Wickets': '0'}, {'Over': '3', 'Runs': '35', 'Wickets': '0'}, {'Over': '4', 'Runs': '45', 'Wickets': '1'}, {'Over': '5', 'Runs': '54', 'Wickets': '2'}, {'Over': '6', 'Runs': '65', 'Wickets': '3'}, {'Over': '7', 'Runs': '72', 'Wickets': '3'}, {'Over': '8', 'Runs': '82', 'Wickets': '3'}, {'Over': '9', 'Runs': '101', 'Wickets': '3'}, {'Over': '10', 'Runs': '115', 'Wickets': '3'}, {'Over': '11', 'Runs': '120', 'Wickets': '3'}, {'Over': '12', 'Runs': '134', 'Wickets': '3'}, {'Over': '13', 'Runs': '141', 'Wickets': '5'}, {'Over': '14', 'Runs': '152', 'Wickets': '5'}, {'Over': '15', 'Runs': '173', 'Wickets': '5'}, {'Over': '16', 'Runs': '187', 'Wickets': '5'}, {'Over': '17', 'Runs': '194', 'Wickets': '5'}, {'Over': '18', 'Runs': '217', 'Wickets': '6'}, {'Over': '19', 'Runs': '233', 'Wickets': '7'}, {'Over': '20', 'Runs': '247', 'Wickets': '9'}]</t>
  </si>
  <si>
    <t>44th Match (N)</t>
  </si>
  <si>
    <t>196/5</t>
  </si>
  <si>
    <t>(19/20 ov, T:197) 199/3</t>
  </si>
  <si>
    <t>RR won by 7 wickets (with 6 balls remaining)</t>
  </si>
  <si>
    <t>[{'Over': '1', 'Runs': '8', 'Wickets': '1'}, {'Over': '2', 'Runs': '11', 'Wickets': '2'}, {'Over': '3', 'Runs': '20', 'Wickets': '2'}, {'Over': '4', 'Runs': '26', 'Wickets': '2'}, {'Over': '5', 'Runs': '36', 'Wickets': '2'}, {'Over': '6', 'Runs': '46', 'Wickets': '2'}, {'Over': '7', 'Runs': '54', 'Wickets': '2'}, {'Over': '8', 'Runs': '75', 'Wickets': '2'}, {'Over': '9', 'Runs': '81', 'Wickets': '2'}, {'Over': '10', 'Runs': '94', 'Wickets': '2'}, {'Over': '11', 'Runs': '112', 'Wickets': '2'}, {'Over': '12', 'Runs': '126', 'Wickets': '2'}, {'Over': '13', 'Runs': '135', 'Wickets': '3'}, {'Over': '14', 'Runs': '141', 'Wickets': '3'}, {'Over': '15', 'Runs': '150', 'Wickets': '3'}, {'Over': '16', 'Runs': '156', 'Wickets': '4'}, {'Over': '17', 'Runs': '171', 'Wickets': '4'}, {'Over': '18', 'Runs': '178', 'Wickets': '5'}, {'Over': '19', 'Runs': '184', 'Wickets': '5'}, {'Over': '20', 'Runs': '196', 'Wickets': '5'}]</t>
  </si>
  <si>
    <t>[{'Over': '1', 'Runs': '13', 'Wickets': '0'}, {'Over': '2', 'Runs': '20', 'Wickets': '0'}, {'Over': '3', 'Runs': '28', 'Wickets': '0'}, {'Over': '4', 'Runs': '37', 'Wickets': '0'}, {'Over': '5', 'Runs': '50', 'Wickets': '0'}, {'Over': '6', 'Runs': '60', 'Wickets': '1'}, {'Over': '7', 'Runs': '63', 'Wickets': '2'}, {'Over': '8', 'Runs': '70', 'Wickets': '2'}, {'Over': '9', 'Runs': '78', 'Wickets': '3'}, {'Over': '10', 'Runs': '81', 'Wickets': '3'}, {'Over': '11', 'Runs': '93', 'Wickets': '3'}, {'Over': '12', 'Runs': '110', 'Wickets': '3'}, {'Over': '13', 'Runs': '115', 'Wickets': '3'}, {'Over': '14', 'Runs': '135', 'Wickets': '3'}, {'Over': '15', 'Runs': '144', 'Wickets': '3'}, {'Over': '16', 'Runs': '160', 'Wickets': '3'}, {'Over': '17', 'Runs': '170', 'Wickets': '3'}, {'Over': '18', 'Runs': '186', 'Wickets': '3'}, {'Over': '19', 'Runs': '199', 'Wickets': '3'}]</t>
  </si>
  <si>
    <t>45th Match (D/N)</t>
  </si>
  <si>
    <t>200/3</t>
  </si>
  <si>
    <t>(16/20 ov, T:201) 206/1</t>
  </si>
  <si>
    <t>RCB won by 9 wickets (with 24 balls remaining)</t>
  </si>
  <si>
    <t>[{'Over': '1', 'Runs': '6', 'Wickets': '1'}, {'Over': '2', 'Runs': '13', 'Wickets': '1'}, {'Over': '3', 'Runs': '24', 'Wickets': '1'}, {'Over': '4', 'Runs': '28', 'Wickets': '1'}, {'Over': '5', 'Runs': '35', 'Wickets': '1'}, {'Over': '6', 'Runs': '42', 'Wickets': '1'}, {'Over': '7', 'Runs': '47', 'Wickets': '2'}, {'Over': '8', 'Runs': '59', 'Wickets': '2'}, {'Over': '9', 'Runs': '72', 'Wickets': '2'}, {'Over': '10', 'Runs': '82', 'Wickets': '2'}, {'Over': '11', 'Runs': '92', 'Wickets': '2'}, {'Over': '12', 'Runs': '108', 'Wickets': '2'}, {'Over': '13', 'Runs': '125', 'Wickets': '2'}, {'Over': '14', 'Runs': '131', 'Wickets': '2'}, {'Over': '15', 'Runs': '138', 'Wickets': '3'}, {'Over': '16', 'Runs': '148', 'Wickets': '3'}, {'Over': '17', 'Runs': '156', 'Wickets': '3'}, {'Over': '18', 'Runs': '171', 'Wickets': '3'}, {'Over': '19', 'Runs': '184', 'Wickets': '3'}, {'Over': '20', 'Runs': '200', 'Wickets': '3'}]</t>
  </si>
  <si>
    <t>[{'Over': '1', 'Runs': '5', 'Wickets': '0'}, {'Over': '2', 'Runs': '20', 'Wickets': '0'}, {'Over': '3', 'Runs': '37', 'Wickets': '0'}, {'Over': '4', 'Runs': '41', 'Wickets': '1'}, {'Over': '5', 'Runs': '48', 'Wickets': '1'}, {'Over': '6', 'Runs': '63', 'Wickets': '1'}, {'Over': '7', 'Runs': '74', 'Wickets': '1'}, {'Over': '8', 'Runs': '81', 'Wickets': '1'}, {'Over': '9', 'Runs': '90', 'Wickets': '1'}, {'Over': '10', 'Runs': '98', 'Wickets': '1'}, {'Over': '11', 'Runs': '110', 'Wickets': '1'}, {'Over': '12', 'Runs': '123', 'Wickets': '1'}, {'Over': '13', 'Runs': '134', 'Wickets': '1'}, {'Over': '14', 'Runs': '148', 'Wickets': '1'}, {'Over': '15', 'Runs': '177', 'Wickets': '1'}, {'Over': '16', 'Runs': '206', 'Wickets': '1'}]</t>
  </si>
  <si>
    <t>46th Match (N)</t>
  </si>
  <si>
    <t>212/3</t>
  </si>
  <si>
    <t>(18.5/20 ov, T:213) 134</t>
  </si>
  <si>
    <t>CSK won by 78 runs</t>
  </si>
  <si>
    <t>[{'Over': '1', 'Runs': '4', 'Wickets': '0'}, {'Over': '2', 'Runs': '13', 'Wickets': '0'}, {'Over': '3', 'Runs': '19', 'Wickets': '1'}, {'Over': '4', 'Runs': '30', 'Wickets': '1'}, {'Over': '5', 'Runs': '45', 'Wickets': '1'}, {'Over': '6', 'Runs': '50', 'Wickets': '1'}, {'Over': '7', 'Runs': '59', 'Wickets': '1'}, {'Over': '8', 'Runs': '67', 'Wickets': '1'}, {'Over': '9', 'Runs': '82', 'Wickets': '1'}, {'Over': '10', 'Runs': '92', 'Wickets': '1'}, {'Over': '11', 'Runs': '101', 'Wickets': '1'}, {'Over': '12', 'Runs': '115', 'Wickets': '1'}, {'Over': '13', 'Runs': '123', 'Wickets': '1'}, {'Over': '14', 'Runs': '134', 'Wickets': '2'}, {'Over': '15', 'Runs': '148', 'Wickets': '2'}, {'Over': '16', 'Runs': '159', 'Wickets': '2'}, {'Over': '17', 'Runs': '176', 'Wickets': '2'}, {'Over': '18', 'Runs': '192', 'Wickets': '2'}, {'Over': '19', 'Runs': '200', 'Wickets': '2'}, {'Over': '20', 'Runs': '212', 'Wickets': '3'}]</t>
  </si>
  <si>
    <t>[{'Over': '1', 'Runs': '7', 'Wickets': '0'}, {'Over': '2', 'Runs': '21', 'Wickets': '2'}, {'Over': '3', 'Runs': '33', 'Wickets': '2'}, {'Over': '4', 'Runs': '42', 'Wickets': '3'}, {'Over': '5', 'Runs': '45', 'Wickets': '3'}, {'Over': '6', 'Runs': '53', 'Wickets': '3'}, {'Over': '7', 'Runs': '59', 'Wickets': '3'}, {'Over': '8', 'Runs': '70', 'Wickets': '3'}, {'Over': '9', 'Runs': '73', 'Wickets': '4'}, {'Over': '10', 'Runs': '78', 'Wickets': '4'}, {'Over': '11', 'Runs': '86', 'Wickets': '5'}, {'Over': '12', 'Runs': '95', 'Wickets': '5'}, {'Over': '13', 'Runs': '102', 'Wickets': '5'}, {'Over': '14', 'Runs': '106', 'Wickets': '5'}, {'Over': '15', 'Runs': '109', 'Wickets': '5'}, {'Over': '16', 'Runs': '118', 'Wickets': '6'}, {'Over': '17', 'Runs': '124', 'Wickets': '7'}, {'Over': '18', 'Runs': '128', 'Wickets': '8'}, {'Over': '19', 'Runs': '134', 'Wickets': '10'}]</t>
  </si>
  <si>
    <t>50th Match (N)</t>
  </si>
  <si>
    <t>201/3</t>
  </si>
  <si>
    <t>(20 ov, T:202) 200/7</t>
  </si>
  <si>
    <t>SRH won by 1 run</t>
  </si>
  <si>
    <t>[{'Over': '1', 'Runs': '6', 'Wickets': '0'}, {'Over': '2', 'Runs': '14', 'Wickets': '0'}, {'Over': '3', 'Runs': '21', 'Wickets': '0'}, {'Over': '4', 'Runs': '25', 'Wickets': '0'}, {'Over': '5', 'Runs': '35', 'Wickets': '1'}, {'Over': '6', 'Runs': '37', 'Wickets': '2'}, {'Over': '7', 'Runs': '44', 'Wickets': '2'}, {'Over': '8', 'Runs': '48', 'Wickets': '2'}, {'Over': '9', 'Runs': '66', 'Wickets': '2'}, {'Over': '10', 'Runs': '75', 'Wickets': '2'}, {'Over': '11', 'Runs': '84', 'Wickets': '2'}, {'Over': '12', 'Runs': '92', 'Wickets': '2'}, {'Over': '13', 'Runs': '113', 'Wickets': '2'}, {'Over': '14', 'Runs': '123', 'Wickets': '2'}, {'Over': '15', 'Runs': '131', 'Wickets': '3'}, {'Over': '16', 'Runs': '146', 'Wickets': '3'}, {'Over': '17', 'Runs': '162', 'Wickets': '3'}, {'Over': '18', 'Runs': '174', 'Wickets': '3'}, {'Over': '19', 'Runs': '186', 'Wickets': '3'}, {'Over': '20', 'Runs': '201', 'Wickets': '3'}]</t>
  </si>
  <si>
    <t>[{'Over': '1', 'Runs': '1', 'Wickets': '2'}, {'Over': '2', 'Runs': '6', 'Wickets': '2'}, {'Over': '3', 'Runs': '21', 'Wickets': '2'}, {'Over': '4', 'Runs': '35', 'Wickets': '2'}, {'Over': '5', 'Runs': '50', 'Wickets': '2'}, {'Over': '6', 'Runs': '60', 'Wickets': '2'}, {'Over': '7', 'Runs': '69', 'Wickets': '2'}, {'Over': '8', 'Runs': '81', 'Wickets': '2'}, {'Over': '9', 'Runs': '90', 'Wickets': '2'}, {'Over': '10', 'Runs': '100', 'Wickets': '2'}, {'Over': '11', 'Runs': '111', 'Wickets': '2'}, {'Over': '12', 'Runs': '118', 'Wickets': '2'}, {'Over': '13', 'Runs': '132', 'Wickets': '2'}, {'Over': '14', 'Runs': '143', 'Wickets': '3'}, {'Over': '15', 'Runs': '157', 'Wickets': '3'}, {'Over': '16', 'Runs': '160', 'Wickets': '4'}, {'Over': '17', 'Runs': '175', 'Wickets': '4'}, {'Over': '18', 'Runs': '182', 'Wickets': '5'}, {'Over': '19', 'Runs': '189', 'Wickets': '6'}, {'Over': '20', 'Runs': '200', 'Wickets': '7'}]</t>
  </si>
  <si>
    <t>54th Match (N)</t>
  </si>
  <si>
    <t>235/6</t>
  </si>
  <si>
    <t>(16.1/20 ov, T:236) 137</t>
  </si>
  <si>
    <t>KKR won by 98 runs</t>
  </si>
  <si>
    <t>[{'Over': '1', 'Runs': '10', 'Wickets': '0'}, {'Over': '2', 'Runs': '18', 'Wickets': '0'}, {'Over': '3', 'Runs': '37', 'Wickets': '0'}, {'Over': '4', 'Runs': '57', 'Wickets': '0'}, {'Over': '5', 'Runs': '68', 'Wickets': '1'}, {'Over': '6', 'Runs': '70', 'Wickets': '1'}, {'Over': '7', 'Runs': '81', 'Wickets': '1'}, {'Over': '8', 'Runs': '86', 'Wickets': '1'}, {'Over': '9', 'Runs': '100', 'Wickets': '1'}, {'Over': '10', 'Runs': '110', 'Wickets': '1'}, {'Over': '11', 'Runs': '129', 'Wickets': '1'}, {'Over': '12', 'Runs': '140', 'Wickets': '2'}, {'Over': '13', 'Runs': '155', 'Wickets': '2'}, {'Over': '14', 'Runs': '162', 'Wickets': '2'}, {'Over': '15', 'Runs': '171', 'Wickets': '3'}, {'Over': '16', 'Runs': '178', 'Wickets': '4'}, {'Over': '17', 'Runs': '190', 'Wickets': '4'}, {'Over': '18', 'Runs': '200', 'Wickets': '5'}, {'Over': '19', 'Runs': '217', 'Wickets': '5'}, {'Over': '20', 'Runs': '235', 'Wickets': '6'}]</t>
  </si>
  <si>
    <t>[{'Over': '1', 'Runs': '11', 'Wickets': '0'}, {'Over': '2', 'Runs': '20', 'Wickets': '1'}, {'Over': '3', 'Runs': '30', 'Wickets': '1'}, {'Over': '4', 'Runs': '43', 'Wickets': '1'}, {'Over': '5', 'Runs': '47', 'Wickets': '1'}, {'Over': '6', 'Runs': '55', 'Wickets': '1'}, {'Over': '7', 'Runs': '65', 'Wickets': '1'}, {'Over': '8', 'Runs': '76', 'Wickets': '2'}, {'Over': '9', 'Runs': '85', 'Wickets': '3'}, {'Over': '10', 'Runs': '96', 'Wickets': '4'}, {'Over': '11', 'Runs': '100', 'Wickets': '4'}, {'Over': '12', 'Runs': '107', 'Wickets': '5'}, {'Over': '13', 'Runs': '111', 'Wickets': '6'}, {'Over': '14', 'Runs': '125', 'Wickets': '7'}, {'Over': '15', 'Runs': '130', 'Wickets': '8'}, {'Over': '16', 'Runs': '137', 'Wickets': '9'}, {'Over': '17', 'Runs': '137', 'Wickets': '10'}]</t>
  </si>
  <si>
    <t>56th Match (N)</t>
  </si>
  <si>
    <t>221/8</t>
  </si>
  <si>
    <t>(20 ov, T:222) 201/8</t>
  </si>
  <si>
    <t>[{'Over': '1', 'Runs': '6', 'Wickets': '0'}, {'Over': '2', 'Runs': '16', 'Wickets': '0'}, {'Over': '3', 'Runs': '31', 'Wickets': '0'}, {'Over': '4', 'Runs': '59', 'Wickets': '0'}, {'Over': '5', 'Runs': '68', 'Wickets': '1'}, {'Over': '6', 'Runs': '78', 'Wickets': '2'}, {'Over': '7', 'Runs': '84', 'Wickets': '2'}, {'Over': '8', 'Runs': '98', 'Wickets': '2'}, {'Over': '9', 'Runs': '109', 'Wickets': '2'}, {'Over': '10', 'Runs': '115', 'Wickets': '3'}, {'Over': '11', 'Runs': '129', 'Wickets': '3'}, {'Over': '12', 'Runs': '142', 'Wickets': '3'}, {'Over': '13', 'Runs': '146', 'Wickets': '4'}, {'Over': '14', 'Runs': '151', 'Wickets': '5'}, {'Over': '15', 'Runs': '156', 'Wickets': '5'}, {'Over': '16', 'Runs': '164', 'Wickets': '5'}, {'Over': '17', 'Runs': '168', 'Wickets': '5'}, {'Over': '18', 'Runs': '189', 'Wickets': '5'}, {'Over': '19', 'Runs': '203', 'Wickets': '6'}, {'Over': '20', 'Runs': '221', 'Wickets': '8'}]</t>
  </si>
  <si>
    <t>[{'Over': '1', 'Runs': '7', 'Wickets': '1'}, {'Over': '2', 'Runs': '9', 'Wickets': '1'}, {'Over': '3', 'Runs': '27', 'Wickets': '1'}, {'Over': '4', 'Runs': '42', 'Wickets': '1'}, {'Over': '5', 'Runs': '57', 'Wickets': '1'}, {'Over': '6', 'Runs': '67', 'Wickets': '2'}, {'Over': '7', 'Runs': '70', 'Wickets': '2'}, {'Over': '8', 'Runs': '78', 'Wickets': '2'}, {'Over': '9', 'Runs': '86', 'Wickets': '2'}, {'Over': '10', 'Runs': '93', 'Wickets': '2'}, {'Over': '11', 'Runs': '103', 'Wickets': '3'}, {'Over': '12', 'Runs': '113', 'Wickets': '3'}, {'Over': '13', 'Runs': '131', 'Wickets': '3'}, {'Over': '14', 'Runs': '148', 'Wickets': '3'}, {'Over': '15', 'Runs': '159', 'Wickets': '3'}, {'Over': '16', 'Runs': '170', 'Wickets': '4'}, {'Over': '17', 'Runs': '181', 'Wickets': '5'}, {'Over': '18', 'Runs': '185', 'Wickets': '7'}, {'Over': '19', 'Runs': '193', 'Wickets': '7'}, {'Over': '20', 'Runs': '201', 'Wickets': '8'}]</t>
  </si>
  <si>
    <t>58th Match (N)</t>
  </si>
  <si>
    <t>Dharamsala</t>
  </si>
  <si>
    <t>241/7</t>
  </si>
  <si>
    <t>(17/20 ov, T:242) 181</t>
  </si>
  <si>
    <t>RCB won by 60 runs</t>
  </si>
  <si>
    <t>[{'Over': '1', 'Runs': '11', 'Wickets': '0'}, {'Over': '2', 'Runs': '19', 'Wickets': '0'}, {'Over': '3', 'Runs': '20', 'Wickets': '1'}, {'Over': '4', 'Runs': '36', 'Wickets': '1'}, {'Over': '5', 'Runs': '44', 'Wickets': '2'}, {'Over': '6', 'Runs': '56', 'Wickets': '2'}, {'Over': '7', 'Runs': '72', 'Wickets': '2'}, {'Over': '8', 'Runs': '90', 'Wickets': '2'}, {'Over': '9', 'Runs': '106', 'Wickets': '2'}, {'Over': '10', 'Runs': '119', 'Wickets': '3'}, {'Over': '11', 'Runs': '125', 'Wickets': '3'}, {'Over': '12', 'Runs': '133', 'Wickets': '3'}, {'Over': '13', 'Runs': '144', 'Wickets': '3'}, {'Over': '14', 'Runs': '153', 'Wickets': '3'}, {'Over': '15', 'Runs': '164', 'Wickets': '3'}, {'Over': '16', 'Runs': '185', 'Wickets': '3'}, {'Over': '17', 'Runs': '200', 'Wickets': '3'}, {'Over': '18', 'Runs': '217', 'Wickets': '4'}, {'Over': '19', 'Runs': '238', 'Wickets': '4'}, {'Over': '20', 'Runs': '241', 'Wickets': '7'}]</t>
  </si>
  <si>
    <t>[{'Over': '1', 'Runs': '14', 'Wickets': '1'}, {'Over': '2', 'Runs': '21', 'Wickets': '1'}, {'Over': '3', 'Runs': '27', 'Wickets': '1'}, {'Over': '4', 'Runs': '45', 'Wickets': '1'}, {'Over': '5', 'Runs': '61', 'Wickets': '1'}, {'Over': '6', 'Runs': '75', 'Wickets': '2'}, {'Over': '7', 'Runs': '80', 'Wickets': '2'}, {'Over': '8', 'Runs': '96', 'Wickets': '2'}, {'Over': '9', 'Runs': '107', 'Wickets': '3'}, {'Over': '10', 'Runs': '114', 'Wickets': '3'}, {'Over': '11', 'Runs': '125', 'Wickets': '4'}, {'Over': '12', 'Runs': '132', 'Wickets': '5'}, {'Over': '13', 'Runs': '146', 'Wickets': '5'}, {'Over': '14', 'Runs': '153', 'Wickets': '6'}, {'Over': '15', 'Runs': '164', 'Wickets': '7'}, {'Over': '16', 'Runs': '174', 'Wickets': '8'}, {'Over': '17', 'Runs': '181', 'Wickets': '10'}]</t>
  </si>
  <si>
    <t>59th Match (N)</t>
  </si>
  <si>
    <t>231/3</t>
  </si>
  <si>
    <t>(20 ov, T:232) 196/8</t>
  </si>
  <si>
    <t>GT won by 35 runs</t>
  </si>
  <si>
    <t>[{'Over': '1', 'Runs': '14', 'Wickets': '0'}, {'Over': '2', 'Runs': '21', 'Wickets': '0'}, {'Over': '3', 'Runs': '32', 'Wickets': '0'}, {'Over': '4', 'Runs': '43', 'Wickets': '0'}, {'Over': '5', 'Runs': '46', 'Wickets': '0'}, {'Over': '6', 'Runs': '58', 'Wickets': '0'}, {'Over': '7', 'Runs': '72', 'Wickets': '0'}, {'Over': '8', 'Runs': '79', 'Wickets': '0'}, {'Over': '9', 'Runs': '94', 'Wickets': '0'}, {'Over': '10', 'Runs': '107', 'Wickets': '0'}, {'Over': '11', 'Runs': '130', 'Wickets': '0'}, {'Over': '12', 'Runs': '143', 'Wickets': '0'}, {'Over': '13', 'Runs': '160', 'Wickets': '0'}, {'Over': '14', 'Runs': '179', 'Wickets': '0'}, {'Over': '15', 'Runs': '190', 'Wickets': '0'}, {'Over': '16', 'Runs': '196', 'Wickets': '0'}, {'Over': '17', 'Runs': '209', 'Wickets': '0'}, {'Over': '18', 'Runs': '213', 'Wickets': '2'}, {'Over': '19', 'Runs': '219', 'Wickets': '2'}, {'Over': '20', 'Runs': '231', 'Wickets': '3'}]</t>
  </si>
  <si>
    <t>[{'Over': '1', 'Runs': '2', 'Wickets': '1'}, {'Over': '2', 'Runs': '3', 'Wickets': '2'}, {'Over': '3', 'Runs': '10', 'Wickets': '3'}, {'Over': '4', 'Runs': '22', 'Wickets': '3'}, {'Over': '5', 'Runs': '33', 'Wickets': '3'}, {'Over': '6', 'Runs': '43', 'Wickets': '3'}, {'Over': '7', 'Runs': '58', 'Wickets': '3'}, {'Over': '8', 'Runs': '72', 'Wickets': '3'}, {'Over': '9', 'Runs': '77', 'Wickets': '3'}, {'Over': '10', 'Runs': '86', 'Wickets': '3'}, {'Over': '11', 'Runs': '106', 'Wickets': '3'}, {'Over': '12', 'Runs': '119', 'Wickets': '3'}, {'Over': '13', 'Runs': '125', 'Wickets': '4'}, {'Over': '14', 'Runs': '134', 'Wickets': '4'}, {'Over': '15', 'Runs': '143', 'Wickets': '5'}, {'Over': '16', 'Runs': '162', 'Wickets': '5'}, {'Over': '17', 'Runs': '168', 'Wickets': '6'}, {'Over': '18', 'Runs': '170', 'Wickets': '8'}, {'Over': '19', 'Runs': '180', 'Wickets': '8'}, {'Over': '20', 'Runs': '196', 'Wickets': '8'}]</t>
  </si>
  <si>
    <t>62nd Match (N)</t>
  </si>
  <si>
    <t>187/9</t>
  </si>
  <si>
    <t>(19.1/20 ov, T:188) 140</t>
  </si>
  <si>
    <t>RCB won by 47 runs</t>
  </si>
  <si>
    <t>[{'Over': '1', 'Runs': '10', 'Wickets': '0'}, {'Over': '2', 'Runs': '23', 'Wickets': '0'}, {'Over': '3', 'Runs': '25', 'Wickets': '1'}, {'Over': '4', 'Runs': '37', 'Wickets': '2'}, {'Over': '5', 'Runs': '51', 'Wickets': '2'}, {'Over': '6', 'Runs': '61', 'Wickets': '2'}, {'Over': '7', 'Runs': '76', 'Wickets': '2'}, {'Over': '8', 'Runs': '87', 'Wickets': '2'}, {'Over': '9', 'Runs': '99', 'Wickets': '2'}, {'Over': '10', 'Runs': '110', 'Wickets': '2'}, {'Over': '11', 'Runs': '118', 'Wickets': '2'}, {'Over': '12', 'Runs': '121', 'Wickets': '2'}, {'Over': '13', 'Runs': '131', 'Wickets': '3'}, {'Over': '14', 'Runs': '134', 'Wickets': '3'}, {'Over': '15', 'Runs': '138', 'Wickets': '4'}, {'Over': '16', 'Runs': '147', 'Wickets': '4'}, {'Over': '17', 'Runs': '169', 'Wickets': '4'}, {'Over': '18', 'Runs': '174', 'Wickets': '6'}, {'Over': '19', 'Runs': '179', 'Wickets': '7'}, {'Over': '20', 'Runs': '187', 'Wickets': '9'}]</t>
  </si>
  <si>
    <t>[{'Over': '1', 'Runs': '9', 'Wickets': '1'}, {'Over': '2', 'Runs': '24', 'Wickets': '1'}, {'Over': '3', 'Runs': '28', 'Wickets': '3'}, {'Over': '4', 'Runs': '30', 'Wickets': '4'}, {'Over': '5', 'Runs': '43', 'Wickets': '4'}, {'Over': '6', 'Runs': '54', 'Wickets': '4'}, {'Over': '7', 'Runs': '63', 'Wickets': '4'}, {'Over': '8', 'Runs': '71', 'Wickets': '4'}, {'Over': '9', 'Runs': '81', 'Wickets': '4'}, {'Over': '10', 'Runs': '87', 'Wickets': '5'}, {'Over': '11', 'Runs': '90', 'Wickets': '6'}, {'Over': '12', 'Runs': '100', 'Wickets': '6'}, {'Over': '13', 'Runs': '116', 'Wickets': '6'}, {'Over': '14', 'Runs': '124', 'Wickets': '6'}, {'Over': '15', 'Runs': '127', 'Wickets': '7'}, {'Over': '16', 'Runs': '130', 'Wickets': '8'}, {'Over': '17', 'Runs': '133', 'Wickets': '8'}, {'Over': '18', 'Runs': '135', 'Wickets': '9'}, {'Over': '19', 'Runs': '140', 'Wickets': '9'}, {'Over': '20', 'Runs': '140', 'Wickets': '10'}]</t>
  </si>
  <si>
    <t>64th Match (N)</t>
  </si>
  <si>
    <t>208/4</t>
  </si>
  <si>
    <t>(20 ov, T:209) 189/9</t>
  </si>
  <si>
    <t>DC won by 19 runs</t>
  </si>
  <si>
    <t>[{'Over': '1', 'Runs': '6', 'Wickets': '1'}, {'Over': '2', 'Runs': '14', 'Wickets': '1'}, {'Over': '3', 'Runs': '35', 'Wickets': '1'}, {'Over': '4', 'Runs': '51', 'Wickets': '1'}, {'Over': '5', 'Runs': '56', 'Wickets': '1'}, {'Over': '6', 'Runs': '73', 'Wickets': '1'}, {'Over': '7', 'Runs': '79', 'Wickets': '1'}, {'Over': '8', 'Runs': '88', 'Wickets': '1'}, {'Over': '9', 'Runs': '97', 'Wickets': '2'}, {'Over': '10', 'Runs': '106', 'Wickets': '2'}, {'Over': '11', 'Runs': '111', 'Wickets': '2'}, {'Over': '12', 'Runs': '115', 'Wickets': '3'}, {'Over': '13', 'Runs': '121', 'Wickets': '3'}, {'Over': '14', 'Runs': '132', 'Wickets': '3'}, {'Over': '15', 'Runs': '136', 'Wickets': '3'}, {'Over': '16', 'Runs': '154', 'Wickets': '3'}, {'Over': '17', 'Runs': '163', 'Wickets': '4'}, {'Over': '18', 'Runs': '175', 'Wickets': '4'}, {'Over': '19', 'Runs': '196', 'Wickets': '4'}, {'Over': '20', 'Runs': '208', 'Wickets': '4'}]</t>
  </si>
  <si>
    <t>[{'Over': '1', 'Runs': '7', 'Wickets': '1'}, {'Over': '2', 'Runs': '12', 'Wickets': '1'}, {'Over': '3', 'Runs': '24', 'Wickets': '2'}, {'Over': '4', 'Runs': '44', 'Wickets': '3'}, {'Over': '5', 'Runs': '48', 'Wickets': '4'}, {'Over': '6', 'Runs': '59', 'Wickets': '4'}, {'Over': '7', 'Runs': '69', 'Wickets': '4'}, {'Over': '8', 'Runs': '73', 'Wickets': '5'}, {'Over': '9', 'Runs': '85', 'Wickets': '5'}, {'Over': '10', 'Runs': '97', 'Wickets': '5'}, {'Over': '11', 'Runs': '101', 'Wickets': '5'}, {'Over': '12', 'Runs': '105', 'Wickets': '6'}, {'Over': '13', 'Runs': '117', 'Wickets': '6'}, {'Over': '14', 'Runs': '128', 'Wickets': '6'}, {'Over': '15', 'Runs': '135', 'Wickets': '7'}, {'Over': '16', 'Runs': '149', 'Wickets': '7'}, {'Over': '17', 'Runs': '167', 'Wickets': '8'}, {'Over': '18', 'Runs': '180', 'Wickets': '8'}, {'Over': '19', 'Runs': '186', 'Wickets': '9'}, {'Over': '20', 'Runs': '189', 'Wickets': '9'}]</t>
  </si>
  <si>
    <t>67th Match (N)</t>
  </si>
  <si>
    <t>214/6</t>
  </si>
  <si>
    <t>(20 ov, T:215) 196/6</t>
  </si>
  <si>
    <t>LSG won by 18 runs</t>
  </si>
  <si>
    <t>[{'Over': '1', 'Runs': '4', 'Wickets': '1'}, {'Over': '2', 'Runs': '7', 'Wickets': '1'}, {'Over': '3', 'Runs': '14', 'Wickets': '1'}, {'Over': '4', 'Runs': '28', 'Wickets': '1'}, {'Over': '5', 'Runs': '35', 'Wickets': '1'}, {'Over': '6', 'Runs': '49', 'Wickets': '2'}, {'Over': '7', 'Runs': '56', 'Wickets': '2'}, {'Over': '8', 'Runs': '62', 'Wickets': '2'}, {'Over': '9', 'Runs': '68', 'Wickets': '2'}, {'Over': '10', 'Runs': '69', 'Wickets': '3'}, {'Over': '11', 'Runs': '81', 'Wickets': '3'}, {'Over': '12', 'Runs': '93', 'Wickets': '3'}, {'Over': '13', 'Runs': '115', 'Wickets': '3'}, {'Over': '14', 'Runs': '130', 'Wickets': '3'}, {'Over': '15', 'Runs': '159', 'Wickets': '3'}, {'Over': '16', 'Runs': '170', 'Wickets': '3'}, {'Over': '17', 'Runs': '178', 'Wickets': '5'}, {'Over': '18', 'Runs': '186', 'Wickets': '6'}, {'Over': '19', 'Runs': '195', 'Wickets': '6'}, {'Over': '20', 'Runs': '214', 'Wickets': '6'}]</t>
  </si>
  <si>
    <t>[{'Over': '1', 'Runs': '8', 'Wickets': '0'}, {'Over': '2', 'Runs': '22', 'Wickets': '0'}, {'Over': '3', 'Runs': '25', 'Wickets': '0'}, {'Over': '4', 'Runs': '33', 'Wickets': '0'}, {'Over': '5', 'Runs': '42', 'Wickets': '0'}, {'Over': '6', 'Runs': '53', 'Wickets': '0'}, {'Over': '7', 'Runs': '67', 'Wickets': '0'}, {'Over': '8', 'Runs': '78', 'Wickets': '0'}, {'Over': '9', 'Runs': '88', 'Wickets': '1'}, {'Over': '10', 'Runs': '92', 'Wickets': '2'}, {'Over': '11', 'Runs': '98', 'Wickets': '3'}, {'Over': '12', 'Runs': '101', 'Wickets': '3'}, {'Over': '13', 'Runs': '115', 'Wickets': '3'}, {'Over': '14', 'Runs': '119', 'Wickets': '4'}, {'Over': '15', 'Runs': '125', 'Wickets': '5'}, {'Over': '16', 'Runs': '135', 'Wickets': '5'}, {'Over': '17', 'Runs': '149', 'Wickets': '5'}, {'Over': '18', 'Runs': '163', 'Wickets': '5'}, {'Over': '19', 'Runs': '181', 'Wickets': '5'}, {'Over': '20', 'Runs': '196', 'Wickets': '6'}]</t>
  </si>
  <si>
    <t>68th Match (N)</t>
  </si>
  <si>
    <t>218/5</t>
  </si>
  <si>
    <t>(20 ov, T:219) 191/7</t>
  </si>
  <si>
    <t>RCB won by 27 runs</t>
  </si>
  <si>
    <t>[{'Over': '1', 'Runs': '2', 'Wickets': '0'}, {'Over': '2', 'Runs': '18', 'Wickets': '0'}, {'Over': '3', 'Runs': '31', 'Wickets': '0'}, {'Over': '4', 'Runs': '35', 'Wickets': '0'}, {'Over': '5', 'Runs': '37', 'Wickets': '0'}, {'Over': '6', 'Runs': '42', 'Wickets': '0'}, {'Over': '7', 'Runs': '52', 'Wickets': '0'}, {'Over': '8', 'Runs': '60', 'Wickets': '0'}, {'Over': '9', 'Runs': '70', 'Wickets': '0'}, {'Over': '10', 'Runs': '78', 'Wickets': '1'}, {'Over': '11', 'Runs': '98', 'Wickets': '1'}, {'Over': '12', 'Runs': '108', 'Wickets': '1'}, {'Over': '13', 'Runs': '113', 'Wickets': '2'}, {'Over': '14', 'Runs': '132', 'Wickets': '2'}, {'Over': '15', 'Runs': '138', 'Wickets': '2'}, {'Over': '16', 'Runs': '155', 'Wickets': '2'}, {'Over': '17', 'Runs': '171', 'Wickets': '2'}, {'Over': '18', 'Runs': '187', 'Wickets': '3'}, {'Over': '19', 'Runs': '205', 'Wickets': '4'}, {'Over': '20', 'Runs': '218', 'Wickets': '5'}]</t>
  </si>
  <si>
    <t>[{'Over': '1', 'Runs': '12', 'Wickets': '1'}, {'Over': '2', 'Runs': '19', 'Wickets': '1'}, {'Over': '3', 'Runs': '26', 'Wickets': '2'}, {'Over': '4', 'Runs': '39', 'Wickets': '2'}, {'Over': '5', 'Runs': '43', 'Wickets': '2'}, {'Over': '6', 'Runs': '58', 'Wickets': '2'}, {'Over': '7', 'Runs': '64', 'Wickets': '2'}, {'Over': '8', 'Runs': '78', 'Wickets': '2'}, {'Over': '9', 'Runs': '85', 'Wickets': '2'}, {'Over': '10', 'Runs': '87', 'Wickets': '3'}, {'Over': '11', 'Runs': '91', 'Wickets': '3'}, {'Over': '12', 'Runs': '110', 'Wickets': '3'}, {'Over': '13', 'Runs': '115', 'Wickets': '4'}, {'Over': '14', 'Runs': '125', 'Wickets': '5'}, {'Over': '15', 'Runs': '129', 'Wickets': '6'}, {'Over': '16', 'Runs': '138', 'Wickets': '6'}, {'Over': '17', 'Runs': '151', 'Wickets': '6'}, {'Over': '18', 'Runs': '166', 'Wickets': '6'}, {'Over': '19', 'Runs': '184', 'Wickets': '6'}, {'Over': '20', 'Runs': '191', 'Wickets': '7'}]</t>
  </si>
  <si>
    <t>69th Match (D/N)</t>
  </si>
  <si>
    <t>214/5</t>
  </si>
  <si>
    <t>(19.1/20 ov, T:215) 215/6</t>
  </si>
  <si>
    <t>SRH won by 4 wickets (with 5 balls remaining)</t>
  </si>
  <si>
    <t>[{'Over': '1', 'Runs': '5', 'Wickets': '0'}, {'Over': '2', 'Runs': '12', 'Wickets': '0'}, {'Over': '3', 'Runs': '24', 'Wickets': '0'}, {'Over': '4', 'Runs': '35', 'Wickets': '0'}, {'Over': '5', 'Runs': '47', 'Wickets': '0'}, {'Over': '6', 'Runs': '61', 'Wickets': '0'}, {'Over': '7', 'Runs': '69', 'Wickets': '0'}, {'Over': '8', 'Runs': '82', 'Wickets': '0'}, {'Over': '9', 'Runs': '97', 'Wickets': '0'}, {'Over': '10', 'Runs': '99', 'Wickets': '1'}, {'Over': '11', 'Runs': '109', 'Wickets': '1'}, {'Over': '12', 'Runs': '129', 'Wickets': '1'}, {'Over': '13', 'Runs': '140', 'Wickets': '1'}, {'Over': '14', 'Runs': '151', 'Wickets': '1'}, {'Over': '15', 'Runs': '159', 'Wickets': '2'}, {'Over': '16', 'Runs': '174', 'Wickets': '3'}, {'Over': '17', 'Runs': '180', 'Wickets': '3'}, {'Over': '18', 'Runs': '186', 'Wickets': '4'}, {'Over': '19', 'Runs': '195', 'Wickets': '5'}, {'Over': '20', 'Runs': '214', 'Wickets': '5'}]</t>
  </si>
  <si>
    <t>[{'Over': '1', 'Runs': '9', 'Wickets': '1'}, {'Over': '2', 'Runs': '25', 'Wickets': '1'}, {'Over': '3', 'Runs': '39', 'Wickets': '1'}, {'Over': '4', 'Runs': '50', 'Wickets': '1'}, {'Over': '5', 'Runs': '72', 'Wickets': '2'}, {'Over': '6', 'Runs': '84', 'Wickets': '2'}, {'Over': '7', 'Runs': '88', 'Wickets': '2'}, {'Over': '8', 'Runs': '99', 'Wickets': '2'}, {'Over': '9', 'Runs': '110', 'Wickets': '2'}, {'Over': '10', 'Runs': '129', 'Wickets': '2'}, {'Over': '11', 'Runs': '134', 'Wickets': '3'}, {'Over': '12', 'Runs': '153', 'Wickets': '3'}, {'Over': '13', 'Runs': '167', 'Wickets': '3'}, {'Over': '14', 'Runs': '176', 'Wickets': '4'}, {'Over': '15', 'Runs': '182', 'Wickets': '4'}, {'Over': '16', 'Runs': '189', 'Wickets': '4'}, {'Over': '17', 'Runs': '198', 'Wickets': '5'}, {'Over': '18', 'Runs': '207', 'Wickets': '5'}, {'Over': '19', 'Runs': '211', 'Wickets': '6'}, {'Over': '20', 'Runs': '215', 'Wickets': '6'}]</t>
  </si>
  <si>
    <t>Qualifier 1 (N)</t>
  </si>
  <si>
    <t>(13.4/20 ov, T:160) 164/2</t>
  </si>
  <si>
    <t>KKR won by 8 wickets (with 38 balls remaining)</t>
  </si>
  <si>
    <t>[{'Over': '1', 'Runs': '8', 'Wickets': '1'}, {'Over': '2', 'Runs': '13', 'Wickets': '2'}, {'Over': '3', 'Runs': '21', 'Wickets': '2'}, {'Over': '4', 'Runs': '33', 'Wickets': '2'}, {'Over': '5', 'Runs': '39', 'Wickets': '4'}, {'Over': '6', 'Runs': '45', 'Wickets': '4'}, {'Over': '7', 'Runs': '50', 'Wickets': '4'}, {'Over': '8', 'Runs': '62', 'Wickets': '4'}, {'Over': '9', 'Runs': '80', 'Wickets': '4'}, {'Over': '10', 'Runs': '92', 'Wickets': '4'}, {'Over': '11', 'Runs': '101', 'Wickets': '5'}, {'Over': '12', 'Runs': '110', 'Wickets': '5'}, {'Over': '13', 'Runs': '115', 'Wickets': '5'}, {'Over': '14', 'Runs': '123', 'Wickets': '7'}, {'Over': '15', 'Runs': '125', 'Wickets': '8'}, {'Over': '16', 'Runs': '126', 'Wickets': '9'}, {'Over': '17', 'Runs': '133', 'Wickets': '9'}, {'Over': '18', 'Runs': '144', 'Wickets': '9'}, {'Over': '19', 'Runs': '156', 'Wickets': '9'}, {'Over': '20', 'Runs': '159', 'Wickets': '10'}]</t>
  </si>
  <si>
    <t>[{'Over': '1', 'Runs': '6', 'Wickets': '0'}, {'Over': '2', 'Runs': '26', 'Wickets': '0'}, {'Over': '3', 'Runs': '44', 'Wickets': '0'}, {'Over': '4', 'Runs': '49', 'Wickets': '1'}, {'Over': '5', 'Runs': '57', 'Wickets': '1'}, {'Over': '6', 'Runs': '63', 'Wickets': '1'}, {'Over': '7', 'Runs': '74', 'Wickets': '2'}, {'Over': '8', 'Runs': '85', 'Wickets': '2'}, {'Over': '9', 'Runs': '96', 'Wickets': '2'}, {'Over': '10', 'Runs': '107', 'Wickets': '2'}, {'Over': '11', 'Runs': '119', 'Wickets': '2'}, {'Over': '12', 'Runs': '129', 'Wickets': '2'}, {'Over': '13', 'Runs': '142', 'Wickets': '2'}, {'Over': '14', 'Runs': '164', 'Wickets': '2'}]</t>
  </si>
  <si>
    <t>45&amp;63</t>
  </si>
  <si>
    <t>Qualifier 2 (N)</t>
  </si>
  <si>
    <t>175/9</t>
  </si>
  <si>
    <t>(20 ov, T:176) 139/7</t>
  </si>
  <si>
    <t>SRH won by 36 runs</t>
  </si>
  <si>
    <t>[{'Over': '1', 'Runs': '13', 'Wickets': '1'}, {'Over': '2', 'Runs': '22', 'Wickets': '1'}, {'Over': '3', 'Runs': '29', 'Wickets': '1'}, {'Over': '4', 'Runs': '45', 'Wickets': '1'}, {'Over': '5', 'Runs': '57', 'Wickets': '3'}, {'Over': '6', 'Runs': '68', 'Wickets': '3'}, {'Over': '7', 'Runs': '81', 'Wickets': '3'}, {'Over': '8', 'Runs': '92', 'Wickets': '3'}, {'Over': '9', 'Runs': '96', 'Wickets': '3'}, {'Over': '10', 'Runs': '99', 'Wickets': '4'}, {'Over': '11', 'Runs': '102', 'Wickets': '4'}, {'Over': '12', 'Runs': '108', 'Wickets': '4'}, {'Over': '13', 'Runs': '116', 'Wickets': '4'}, {'Over': '14', 'Runs': '120', 'Wickets': '6'}, {'Over': '15', 'Runs': '132', 'Wickets': '6'}, {'Over': '16', 'Runs': '136', 'Wickets': '6'}, {'Over': '17', 'Runs': '150', 'Wickets': '6'}, {'Over': '18', 'Runs': '163', 'Wickets': '6'}, {'Over': '19', 'Runs': '169', 'Wickets': '7'}, {'Over': '20', 'Runs': '175', 'Wickets': '9'}]</t>
  </si>
  <si>
    <t>[{'Over': '1', 'Runs': '8', 'Wickets': '0'}, {'Over': '2', 'Runs': '13', 'Wickets': '0'}, {'Over': '3', 'Runs': '19', 'Wickets': '0'}, {'Over': '4', 'Runs': '24', 'Wickets': '1'}, {'Over': '5', 'Runs': '32', 'Wickets': '1'}, {'Over': '6', 'Runs': '51', 'Wickets': '1'}, {'Over': '7', 'Runs': '56', 'Wickets': '1'}, {'Over': '8', 'Runs': '66', 'Wickets': '2'}, {'Over': '9', 'Runs': '70', 'Wickets': '3'}, {'Over': '10', 'Runs': '73', 'Wickets': '3'}, {'Over': '11', 'Runs': '79', 'Wickets': '3'}, {'Over': '12', 'Runs': '80', 'Wickets': '5'}, {'Over': '13', 'Runs': '90', 'Wickets': '5'}, {'Over': '14', 'Runs': '93', 'Wickets': '6'}, {'Over': '15', 'Runs': '102', 'Wickets': '6'}, {'Over': '16', 'Runs': '113', 'Wickets': '6'}, {'Over': '17', 'Runs': '123', 'Wickets': '6'}, {'Over': '18', 'Runs': '124', 'Wickets': '7'}, {'Over': '19', 'Runs': '134', 'Wickets': '7'}, {'Over': '20', 'Runs': '139', 'Wickets': '7'}]</t>
  </si>
  <si>
    <t>68&amp;51</t>
  </si>
  <si>
    <t>Final (N)</t>
  </si>
  <si>
    <t>(10.3/20 ov, T:114) 114/2</t>
  </si>
  <si>
    <t>KKR won by 8 wickets (with 57 balls remaining)</t>
  </si>
  <si>
    <t>[{'Over': '1', 'Runs': '3', 'Wickets': '1'}, {'Over': '2', 'Runs': '6', 'Wickets': '2'}, {'Over': '3', 'Runs': '15', 'Wickets': '2'}, {'Over': '4', 'Runs': '21', 'Wickets': '2'}, {'Over': '5', 'Runs': '23', 'Wickets': '3'}, {'Over': '6', 'Runs': '40', 'Wickets': '3'}, {'Over': '7', 'Runs': '47', 'Wickets': '4'}, {'Over': '8', 'Runs': '51', 'Wickets': '4'}, {'Over': '9', 'Runs': '58', 'Wickets': '4'}, {'Over': '10', 'Runs': '61', 'Wickets': '4'}, {'Over': '11', 'Runs': '70', 'Wickets': '5'}, {'Over': '12', 'Runs': '72', 'Wickets': '6'}, {'Over': '13', 'Runs': '82', 'Wickets': '7'}, {'Over': '14', 'Runs': '90', 'Wickets': '7'}, {'Over': '15', 'Runs': '90', 'Wickets': '8'}, {'Over': '16', 'Runs': '98', 'Wickets': '8'}, {'Over': '17', 'Runs': '108', 'Wickets': '8'}, {'Over': '18', 'Runs': '113', 'Wickets': '9'}, {'Over': '19', 'Runs': '113', 'Wickets': '10'}]</t>
  </si>
  <si>
    <t>[{'Over': '1', 'Runs': '5', 'Wickets': '0'}, {'Over': '2', 'Runs': '17', 'Wickets': '1'}, {'Over': '3', 'Runs': '37', 'Wickets': '1'}, {'Over': '4', 'Runs': '46', 'Wickets': '1'}, {'Over': '5', 'Runs': '52', 'Wickets': '1'}, {'Over': '6', 'Runs': '72', 'Wickets': '1'}, {'Over': '7', 'Runs': '84', 'Wickets': '1'}, {'Over': '8', 'Runs': '93', 'Wickets': '1'}, {'Over': '9', 'Runs': '106', 'Wickets': '2'}, {'Over': '10', 'Runs': '111', 'Wickets': '2'}, {'Over': '11', 'Runs': '114', 'Wickets': '2'}]</t>
  </si>
  <si>
    <t>40&amp;72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</si>
</sst>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63"/>
    <col customWidth="1" min="4" max="4" width="24.63"/>
    <col customWidth="1" min="6" max="6" width="22.5"/>
    <col customWidth="1" min="7" max="7" width="21.0"/>
    <col customWidth="1" min="8" max="8" width="17.25"/>
    <col customWidth="1" min="9" max="9" width="6.88"/>
    <col customWidth="1" min="10" max="10" width="113.25"/>
    <col customWidth="1" min="11" max="11" width="19.13"/>
    <col customWidth="1" min="12" max="12" width="7.5"/>
    <col customWidth="1" min="13" max="13" width="111.75"/>
    <col customWidth="1" min="14" max="14" width="16.63"/>
    <col customWidth="1" min="15" max="15" width="15.25"/>
    <col customWidth="1" min="16" max="16" width="11.5"/>
    <col customWidth="1" min="17" max="17" width="23.13"/>
    <col customWidth="1" min="18" max="19" width="16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>
      <c r="A2" s="2">
        <v>2.0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2" t="str">
        <f>IFERROR(__xludf.DUMMYFUNCTION("IFERROR(""[""&amp;REGEXREPLACE(REGEXEXTRACT(I2, ""(\{'Over': '1'.*?'Over': '6', 'Runs': '\d+', 'Wickets': '\d+'\})""), "", 'Wickets': '\d+'"", """")&amp;""]"", """")"),"[{'Over': '1', 'Runs': '3'}, {'Over': '2', 'Runs': '23'}, {'Over': '3', 'Runs': '27'}, {'Over': '4', 'Runs': '32'}, {'Over': '5', 'Runs': '39'}, {'Over': '6', 'Runs': '43'}]")</f>
        <v>[{'Over': '1', 'Runs': '3'}, {'Over': '2', 'Runs': '23'}, {'Over': '3', 'Runs': '27'}, {'Over': '4', 'Runs': '32'}, {'Over': '5', 'Runs': '39'}, {'Over': '6', 'Runs': '43'}]</v>
      </c>
      <c r="K2" s="5">
        <v>43.0</v>
      </c>
      <c r="L2" s="4" t="s">
        <v>26</v>
      </c>
      <c r="M2" s="1" t="str">
        <f>IFERROR(__xludf.DUMMYFUNCTION("IFERROR(""[""&amp;REGEXREPLACE(REGEXEXTRACT(L2, ""(\{'Over': '1'.*?'Over': '6', 'Runs': '\d+', 'Wickets': '\d+'\})""), "", 'Wickets': '\d+'"", """")&amp;""]"", ""N/A or Invalid Data"")"),"[{'Over': '1', 'Runs': '12'}, {'Over': '2', 'Runs': '17'}, {'Over': '3', 'Runs': '27'}, {'Over': '4', 'Runs': '40'}, {'Over': '5', 'Runs': '58'}, {'Over': '6', 'Runs': '65'}]")</f>
        <v>[{'Over': '1', 'Runs': '12'}, {'Over': '2', 'Runs': '17'}, {'Over': '3', 'Runs': '27'}, {'Over': '4', 'Runs': '40'}, {'Over': '5', 'Runs': '58'}, {'Over': '6', 'Runs': '65'}]</v>
      </c>
      <c r="N2" s="5">
        <v>65.0</v>
      </c>
      <c r="O2" s="5" t="str">
        <f t="shared" ref="O2:O41" si="1">CONCATENATE(MID(J2,FIND(CHAR(160),SUBSTITUTE(J2," ",CHAR(160),23)) + 1 + 1,FIND("'}]",J2) - 1 - (FIND(CHAR(160),SUBSTITUTE(J2," ",CHAR(160),23)) + 1)),"&amp;",MID(M2,FIND(CHAR(160),SUBSTITUTE(M2," ",CHAR(160),23)) + 1 + 1,FIND("'}]",M2) - 1 - (FIND(CHAR(160),SUBSTITUTE(M2," ",CHAR(160),23)) + 1)))</f>
        <v>43&amp;65</v>
      </c>
      <c r="P2" s="5">
        <f t="shared" ref="P2:P44" si="2">IFERROR(VALUE(K2) - VALUE(N2), "")</f>
        <v>-22</v>
      </c>
      <c r="Q2" s="2" t="s">
        <v>27</v>
      </c>
      <c r="R2" s="2" t="str">
        <f>IFERROR(__xludf.DUMMYFUNCTION("IFERROR(INDEX(SPLIT(H2, "" ""), 1, 1), """")"),"KKR")</f>
        <v>KKR</v>
      </c>
      <c r="S2" s="1" t="str">
        <f t="shared" ref="S2:S44" si="3">IF(Q2=R2, "same", "different")</f>
        <v>different</v>
      </c>
    </row>
    <row r="3">
      <c r="A3" s="2">
        <v>3.0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2" t="str">
        <f>IFERROR(__xludf.DUMMYFUNCTION("IFERROR(""[""&amp;REGEXREPLACE(REGEXEXTRACT(I3, ""(\{'Over': '1'.*?'Over': '6', 'Runs': '\d+', 'Wickets': '\d+'\})""), "", 'Wickets': '\d+'"", """")&amp;""]"", """")"),"[{'Over': '1', 'Runs': '3'}, {'Over': '2', 'Runs': '13'}, {'Over': '3', 'Runs': '24'}, {'Over': '4', 'Runs': '32'}, {'Over': '5', 'Runs': '49'}, {'Over': '6', 'Runs': '54'}]")</f>
        <v>[{'Over': '1', 'Runs': '3'}, {'Over': '2', 'Runs': '13'}, {'Over': '3', 'Runs': '24'}, {'Over': '4', 'Runs': '32'}, {'Over': '5', 'Runs': '49'}, {'Over': '6', 'Runs': '54'}]</v>
      </c>
      <c r="K3" s="5">
        <v>54.0</v>
      </c>
      <c r="L3" s="4" t="s">
        <v>36</v>
      </c>
      <c r="M3" s="1" t="str">
        <f>IFERROR(__xludf.DUMMYFUNCTION("IFERROR(""[""&amp;REGEXREPLACE(REGEXEXTRACT(L3, ""(\{'Over': '1'.*?'Over': '6', 'Runs': '\d+', 'Wickets': '\d+'\})""), "", 'Wickets': '\d+'"", """")&amp;""]"", ""N/A or Invalid Data"")"),"[{'Over': '1', 'Runs': '4'}, {'Over': '2', 'Runs': '10'}, {'Over': '3', 'Runs': '11'}, {'Over': '4', 'Runs': '22'}, {'Over': '5', 'Runs': '32'}, {'Over': '6', 'Runs': '47'}]")</f>
        <v>[{'Over': '1', 'Runs': '4'}, {'Over': '2', 'Runs': '10'}, {'Over': '3', 'Runs': '11'}, {'Over': '4', 'Runs': '22'}, {'Over': '5', 'Runs': '32'}, {'Over': '6', 'Runs': '47'}]</v>
      </c>
      <c r="N3" s="5">
        <v>47.0</v>
      </c>
      <c r="O3" s="5" t="str">
        <f t="shared" si="1"/>
        <v>54&amp;47</v>
      </c>
      <c r="P3" s="5">
        <f t="shared" si="2"/>
        <v>7</v>
      </c>
      <c r="Q3" s="2" t="s">
        <v>37</v>
      </c>
      <c r="R3" s="2" t="str">
        <f>IFERROR(__xludf.DUMMYFUNCTION("IFERROR(INDEX(SPLIT(H3, "" ""), 1, 1), """")"),"RR")</f>
        <v>RR</v>
      </c>
      <c r="S3" s="1" t="str">
        <f t="shared" si="3"/>
        <v>same</v>
      </c>
    </row>
    <row r="4">
      <c r="A4" s="2">
        <v>6.0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2" t="str">
        <f>IFERROR(__xludf.DUMMYFUNCTION("IFERROR(""[""&amp;REGEXREPLACE(REGEXEXTRACT(I4, ""(\{'Over': '1'.*?'Over': '6', 'Runs': '\d+', 'Wickets': '\d+'\})""), "", 'Wickets': '\d+'"", """")&amp;""]"", """")"),"[{'Over': '1', 'Runs': '2'}, {'Over': '2', 'Runs': '13'}, {'Over': '3', 'Runs': '25'}, {'Over': '4', 'Runs': '41'}, {'Over': '5', 'Runs': '58'}, {'Over': '6', 'Runs': '69'}]")</f>
        <v>[{'Over': '1', 'Runs': '2'}, {'Over': '2', 'Runs': '13'}, {'Over': '3', 'Runs': '25'}, {'Over': '4', 'Runs': '41'}, {'Over': '5', 'Runs': '58'}, {'Over': '6', 'Runs': '69'}]</v>
      </c>
      <c r="K4" s="5">
        <v>69.0</v>
      </c>
      <c r="L4" s="4" t="s">
        <v>46</v>
      </c>
      <c r="M4" s="1" t="str">
        <f>IFERROR(__xludf.DUMMYFUNCTION("IFERROR(""[""&amp;REGEXREPLACE(REGEXEXTRACT(L4, ""(\{'Over': '1'.*?'Over': '6', 'Runs': '\d+', 'Wickets': '\d+'\})""), "", 'Wickets': '\d+'"", """")&amp;""]"", ""N/A or Invalid Data"")"),"[{'Over': '1', 'Runs': '7'}, {'Over': '2', 'Runs': '17'}, {'Over': '3', 'Runs': '28'}, {'Over': '4', 'Runs': '32'}, {'Over': '5', 'Runs': '35'}, {'Over': '6', 'Runs': '43'}]")</f>
        <v>[{'Over': '1', 'Runs': '7'}, {'Over': '2', 'Runs': '17'}, {'Over': '3', 'Runs': '28'}, {'Over': '4', 'Runs': '32'}, {'Over': '5', 'Runs': '35'}, {'Over': '6', 'Runs': '43'}]</v>
      </c>
      <c r="N4" s="5">
        <v>43.0</v>
      </c>
      <c r="O4" s="5" t="str">
        <f t="shared" si="1"/>
        <v>69&amp;43</v>
      </c>
      <c r="P4" s="5">
        <f t="shared" si="2"/>
        <v>26</v>
      </c>
      <c r="Q4" s="2" t="s">
        <v>47</v>
      </c>
      <c r="R4" s="2" t="str">
        <f>IFERROR(__xludf.DUMMYFUNCTION("IFERROR(INDEX(SPLIT(H4, "" ""), 1, 1), """")"),"CSK")</f>
        <v>CSK</v>
      </c>
      <c r="S4" s="1" t="str">
        <f t="shared" si="3"/>
        <v>same</v>
      </c>
    </row>
    <row r="5">
      <c r="A5" s="2">
        <v>7.0</v>
      </c>
      <c r="B5" s="4" t="s">
        <v>48</v>
      </c>
      <c r="C5" s="4" t="s">
        <v>49</v>
      </c>
      <c r="D5" s="4" t="s">
        <v>22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2" t="str">
        <f>IFERROR(__xludf.DUMMYFUNCTION("IFERROR(""[""&amp;REGEXREPLACE(REGEXEXTRACT(I5, ""(\{'Over': '1'.*?'Over': '6', 'Runs': '\d+', 'Wickets': '\d+'\})""), "", 'Wickets': '\d+'"", """")&amp;""]"", """")"),"[{'Over': '1', 'Runs': '7'}, {'Over': '2', 'Runs': '18'}, {'Over': '3', 'Runs': '40'}, {'Over': '4', 'Runs': '45'}, {'Over': '5', 'Runs': '58'}, {'Over': '6', 'Runs': '81'}]")</f>
        <v>[{'Over': '1', 'Runs': '7'}, {'Over': '2', 'Runs': '18'}, {'Over': '3', 'Runs': '40'}, {'Over': '4', 'Runs': '45'}, {'Over': '5', 'Runs': '58'}, {'Over': '6', 'Runs': '81'}]</v>
      </c>
      <c r="K5" s="5">
        <v>81.0</v>
      </c>
      <c r="L5" s="4" t="s">
        <v>55</v>
      </c>
      <c r="M5" s="1" t="str">
        <f>IFERROR(__xludf.DUMMYFUNCTION("IFERROR(""[""&amp;REGEXREPLACE(REGEXEXTRACT(L5, ""(\{'Over': '1'.*?'Over': '6', 'Runs': '\d+', 'Wickets': '\d+'\})""), "", 'Wickets': '\d+'"", """")&amp;""]"", ""N/A or Invalid Data"")"),"[{'Over': '1', 'Runs': '9'}, {'Over': '2', 'Runs': '27'}, {'Over': '3', 'Runs': '50'}, {'Over': '4', 'Runs': '59'}, {'Over': '5', 'Runs': '67'}, {'Over': '6', 'Runs': '76'}]")</f>
        <v>[{'Over': '1', 'Runs': '9'}, {'Over': '2', 'Runs': '27'}, {'Over': '3', 'Runs': '50'}, {'Over': '4', 'Runs': '59'}, {'Over': '5', 'Runs': '67'}, {'Over': '6', 'Runs': '76'}]</v>
      </c>
      <c r="N5" s="5">
        <v>76.0</v>
      </c>
      <c r="O5" s="5" t="str">
        <f t="shared" si="1"/>
        <v>81&amp;76</v>
      </c>
      <c r="P5" s="5">
        <f t="shared" si="2"/>
        <v>5</v>
      </c>
      <c r="Q5" s="2" t="s">
        <v>27</v>
      </c>
      <c r="R5" s="2" t="str">
        <f>IFERROR(__xludf.DUMMYFUNCTION("IFERROR(INDEX(SPLIT(H5, "" ""), 1, 1), """")"),"SRH")</f>
        <v>SRH</v>
      </c>
      <c r="S5" s="1" t="str">
        <f t="shared" si="3"/>
        <v>same</v>
      </c>
    </row>
    <row r="6">
      <c r="A6" s="2">
        <v>8.0</v>
      </c>
      <c r="B6" s="4" t="s">
        <v>56</v>
      </c>
      <c r="C6" s="4" t="s">
        <v>29</v>
      </c>
      <c r="D6" s="4" t="s">
        <v>30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2" t="str">
        <f>IFERROR(__xludf.DUMMYFUNCTION("IFERROR(""[""&amp;REGEXREPLACE(REGEXEXTRACT(I6, ""(\{'Over': '1'.*?'Over': '6', 'Runs': '\d+', 'Wickets': '\d+'\})""), "", 'Wickets': '\d+'"", """")&amp;""]"", """")"),"[{'Over': '1', 'Runs': '4'}, {'Over': '2', 'Runs': '9'}, {'Over': '3', 'Runs': '12'}, {'Over': '4', 'Runs': '26'}, {'Over': '5', 'Runs': '29'}, {'Over': '6', 'Runs': '31'}]")</f>
        <v>[{'Over': '1', 'Runs': '4'}, {'Over': '2', 'Runs': '9'}, {'Over': '3', 'Runs': '12'}, {'Over': '4', 'Runs': '26'}, {'Over': '5', 'Runs': '29'}, {'Over': '6', 'Runs': '31'}]</v>
      </c>
      <c r="K6" s="5">
        <v>31.0</v>
      </c>
      <c r="L6" s="4" t="s">
        <v>62</v>
      </c>
      <c r="M6" s="1" t="str">
        <f>IFERROR(__xludf.DUMMYFUNCTION("IFERROR(""[""&amp;REGEXREPLACE(REGEXEXTRACT(L6, ""(\{'Over': '1'.*?'Over': '6', 'Runs': '\d+', 'Wickets': '\d+'\})""), "", 'Wickets': '\d+'"", """")&amp;""]"", ""N/A or Invalid Data"")"),"[{'Over': '1', 'Runs': '2'}, {'Over': '2', 'Runs': '15'}, {'Over': '3', 'Runs': '29'}, {'Over': '4', 'Runs': '34'}, {'Over': '5', 'Runs': '47'}, {'Over': '6', 'Runs': '59'}]")</f>
        <v>[{'Over': '1', 'Runs': '2'}, {'Over': '2', 'Runs': '15'}, {'Over': '3', 'Runs': '29'}, {'Over': '4', 'Runs': '34'}, {'Over': '5', 'Runs': '47'}, {'Over': '6', 'Runs': '59'}]</v>
      </c>
      <c r="N6" s="5">
        <v>59.0</v>
      </c>
      <c r="O6" s="5" t="str">
        <f t="shared" si="1"/>
        <v>31&amp;59</v>
      </c>
      <c r="P6" s="5">
        <f t="shared" si="2"/>
        <v>-28</v>
      </c>
      <c r="Q6" s="2" t="s">
        <v>63</v>
      </c>
      <c r="R6" s="2" t="str">
        <f>IFERROR(__xludf.DUMMYFUNCTION("IFERROR(INDEX(SPLIT(H6, "" ""), 1, 1), """")"),"RR")</f>
        <v>RR</v>
      </c>
      <c r="S6" s="1" t="str">
        <f t="shared" si="3"/>
        <v>different</v>
      </c>
    </row>
    <row r="7">
      <c r="A7" s="2">
        <v>9.0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20</v>
      </c>
      <c r="G7" s="4" t="s">
        <v>68</v>
      </c>
      <c r="H7" s="4" t="s">
        <v>69</v>
      </c>
      <c r="I7" s="4" t="s">
        <v>70</v>
      </c>
      <c r="J7" s="2" t="str">
        <f>IFERROR(__xludf.DUMMYFUNCTION("IFERROR(""[""&amp;REGEXREPLACE(REGEXEXTRACT(I7, ""(\{'Over': '1'.*?'Over': '6', 'Runs': '\d+', 'Wickets': '\d+'\})""), "", 'Wickets': '\d+'"", """")&amp;""]"", """")"),"[{'Over': '1', 'Runs': '7'}, {'Over': '2', 'Runs': '17'}, {'Over': '3', 'Runs': '34'}, {'Over': '4', 'Runs': '43'}, {'Over': '5', 'Runs': '46'}, {'Over': '6', 'Runs': '61'}]")</f>
        <v>[{'Over': '1', 'Runs': '7'}, {'Over': '2', 'Runs': '17'}, {'Over': '3', 'Runs': '34'}, {'Over': '4', 'Runs': '43'}, {'Over': '5', 'Runs': '46'}, {'Over': '6', 'Runs': '61'}]</v>
      </c>
      <c r="K7" s="5">
        <v>61.0</v>
      </c>
      <c r="L7" s="4" t="s">
        <v>71</v>
      </c>
      <c r="M7" s="1" t="str">
        <f>IFERROR(__xludf.DUMMYFUNCTION("IFERROR(""[""&amp;REGEXREPLACE(REGEXEXTRACT(L7, ""(\{'Over': '1'.*?'Over': '6', 'Runs': '\d+', 'Wickets': '\d+'\})""), "", 'Wickets': '\d+'"", """")&amp;""]"", ""N/A or Invalid Data"")"),"[{'Over': '1', 'Runs': '18'}, {'Over': '2', 'Runs': '32'}, {'Over': '3', 'Runs': '46'}, {'Over': '4', 'Runs': '53'}, {'Over': '5', 'Runs': '64'}, {'Over': '6', 'Runs': '85'}]")</f>
        <v>[{'Over': '1', 'Runs': '18'}, {'Over': '2', 'Runs': '32'}, {'Over': '3', 'Runs': '46'}, {'Over': '4', 'Runs': '53'}, {'Over': '5', 'Runs': '64'}, {'Over': '6', 'Runs': '85'}]</v>
      </c>
      <c r="N7" s="5">
        <v>85.0</v>
      </c>
      <c r="O7" s="5" t="str">
        <f t="shared" si="1"/>
        <v>61&amp;85</v>
      </c>
      <c r="P7" s="5">
        <f t="shared" si="2"/>
        <v>-24</v>
      </c>
      <c r="Q7" s="2" t="s">
        <v>72</v>
      </c>
      <c r="R7" s="2" t="str">
        <f>IFERROR(__xludf.DUMMYFUNCTION("IFERROR(INDEX(SPLIT(H7, "" ""), 1, 1), """")"),"KKR")</f>
        <v>KKR</v>
      </c>
      <c r="S7" s="1" t="str">
        <f t="shared" si="3"/>
        <v>same</v>
      </c>
    </row>
    <row r="8">
      <c r="A8" s="2">
        <v>10.0</v>
      </c>
      <c r="B8" s="4" t="s">
        <v>73</v>
      </c>
      <c r="C8" s="4" t="s">
        <v>74</v>
      </c>
      <c r="D8" s="4" t="s">
        <v>32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2" t="str">
        <f>IFERROR(__xludf.DUMMYFUNCTION("IFERROR(""[""&amp;REGEXREPLACE(REGEXEXTRACT(I8, ""(\{'Over': '1'.*?'Over': '6', 'Runs': '\d+', 'Wickets': '\d+'\})""), "", 'Wickets': '\d+'"", """")&amp;""]"", """")"),"[{'Over': '1', 'Runs': '5'}, {'Over': '2', 'Runs': '12'}, {'Over': '3', 'Runs': '23'}, {'Over': '4', 'Runs': '35'}, {'Over': '5', 'Runs': '45'}, {'Over': '6', 'Runs': '54'}]")</f>
        <v>[{'Over': '1', 'Runs': '5'}, {'Over': '2', 'Runs': '12'}, {'Over': '3', 'Runs': '23'}, {'Over': '4', 'Runs': '35'}, {'Over': '5', 'Runs': '45'}, {'Over': '6', 'Runs': '54'}]</v>
      </c>
      <c r="K8" s="5">
        <v>54.0</v>
      </c>
      <c r="L8" s="4" t="s">
        <v>80</v>
      </c>
      <c r="M8" s="1" t="str">
        <f>IFERROR(__xludf.DUMMYFUNCTION("IFERROR(""[""&amp;REGEXREPLACE(REGEXEXTRACT(L8, ""(\{'Over': '1'.*?'Over': '6', 'Runs': '\d+', 'Wickets': '\d+'\})""), "", 'Wickets': '\d+'"", """")&amp;""]"", ""N/A or Invalid Data"")"),"[{'Over': '1', 'Runs': '5'}, {'Over': '2', 'Runs': '16'}, {'Over': '3', 'Runs': '32'}, {'Over': '4', 'Runs': '39'}, {'Over': '5', 'Runs': '45'}, {'Over': '6', 'Runs': '61'}]")</f>
        <v>[{'Over': '1', 'Runs': '5'}, {'Over': '2', 'Runs': '16'}, {'Over': '3', 'Runs': '32'}, {'Over': '4', 'Runs': '39'}, {'Over': '5', 'Runs': '45'}, {'Over': '6', 'Runs': '61'}]</v>
      </c>
      <c r="N8" s="5">
        <v>61.0</v>
      </c>
      <c r="O8" s="5" t="str">
        <f t="shared" si="1"/>
        <v>54&amp;61</v>
      </c>
      <c r="P8" s="5">
        <f t="shared" si="2"/>
        <v>-7</v>
      </c>
      <c r="Q8" s="2" t="s">
        <v>81</v>
      </c>
      <c r="R8" s="2" t="str">
        <f>IFERROR(__xludf.DUMMYFUNCTION("IFERROR(INDEX(SPLIT(H8, "" ""), 1, 1), """")"),"LSG")</f>
        <v>LSG</v>
      </c>
      <c r="S8" s="1" t="str">
        <f t="shared" si="3"/>
        <v>different</v>
      </c>
    </row>
    <row r="9">
      <c r="A9" s="2">
        <v>12.0</v>
      </c>
      <c r="B9" s="4" t="s">
        <v>82</v>
      </c>
      <c r="C9" s="4" t="s">
        <v>83</v>
      </c>
      <c r="D9" s="4" t="s">
        <v>58</v>
      </c>
      <c r="E9" s="4" t="s">
        <v>84</v>
      </c>
      <c r="F9" s="4" t="s">
        <v>40</v>
      </c>
      <c r="G9" s="4" t="s">
        <v>85</v>
      </c>
      <c r="H9" s="4" t="s">
        <v>86</v>
      </c>
      <c r="I9" s="4" t="s">
        <v>87</v>
      </c>
      <c r="J9" s="2" t="str">
        <f>IFERROR(__xludf.DUMMYFUNCTION("IFERROR(""[""&amp;REGEXREPLACE(REGEXEXTRACT(I9, ""(\{'Over': '1'.*?'Over': '6', 'Runs': '\d+', 'Wickets': '\d+'\})""), "", 'Wickets': '\d+'"", """")&amp;""]"", """")"),"[{'Over': '1', 'Runs': '7'}, {'Over': '2', 'Runs': '10'}, {'Over': '3', 'Runs': '19'}, {'Over': '4', 'Runs': '24'}, {'Over': '5', 'Runs': '42'}, {'Over': '6', 'Runs': '62'}]")</f>
        <v>[{'Over': '1', 'Runs': '7'}, {'Over': '2', 'Runs': '10'}, {'Over': '3', 'Runs': '19'}, {'Over': '4', 'Runs': '24'}, {'Over': '5', 'Runs': '42'}, {'Over': '6', 'Runs': '62'}]</v>
      </c>
      <c r="K9" s="5">
        <v>62.0</v>
      </c>
      <c r="L9" s="4" t="s">
        <v>88</v>
      </c>
      <c r="M9" s="1" t="str">
        <f>IFERROR(__xludf.DUMMYFUNCTION("IFERROR(""[""&amp;REGEXREPLACE(REGEXEXTRACT(L9, ""(\{'Over': '1'.*?'Over': '6', 'Runs': '\d+', 'Wickets': '\d+'\})""), "", 'Wickets': '\d+'"", """")&amp;""]"", ""N/A or Invalid Data"")"),"[{'Over': '1', 'Runs': '3'}, {'Over': '2', 'Runs': '6'}, {'Over': '3', 'Runs': '7'}, {'Over': '4', 'Runs': '17'}, {'Over': '5', 'Runs': '23'}, {'Over': '6', 'Runs': '32'}]")</f>
        <v>[{'Over': '1', 'Runs': '3'}, {'Over': '2', 'Runs': '6'}, {'Over': '3', 'Runs': '7'}, {'Over': '4', 'Runs': '17'}, {'Over': '5', 'Runs': '23'}, {'Over': '6', 'Runs': '32'}]</v>
      </c>
      <c r="N9" s="5">
        <v>32.0</v>
      </c>
      <c r="O9" s="5" t="str">
        <f t="shared" si="1"/>
        <v>62&amp;32</v>
      </c>
      <c r="P9" s="5">
        <f t="shared" si="2"/>
        <v>30</v>
      </c>
      <c r="Q9" s="2" t="s">
        <v>63</v>
      </c>
      <c r="R9" s="2" t="str">
        <f>IFERROR(__xludf.DUMMYFUNCTION("IFERROR(INDEX(SPLIT(H9, "" ""), 1, 1), """")"),"DC")</f>
        <v>DC</v>
      </c>
      <c r="S9" s="1" t="str">
        <f t="shared" si="3"/>
        <v>same</v>
      </c>
    </row>
    <row r="10">
      <c r="A10" s="2">
        <v>14.0</v>
      </c>
      <c r="B10" s="4" t="s">
        <v>89</v>
      </c>
      <c r="C10" s="4" t="s">
        <v>65</v>
      </c>
      <c r="D10" s="4" t="s">
        <v>32</v>
      </c>
      <c r="E10" s="4" t="s">
        <v>90</v>
      </c>
      <c r="F10" s="4" t="s">
        <v>66</v>
      </c>
      <c r="G10" s="4" t="s">
        <v>91</v>
      </c>
      <c r="H10" s="4" t="s">
        <v>92</v>
      </c>
      <c r="I10" s="4" t="s">
        <v>93</v>
      </c>
      <c r="J10" s="2" t="str">
        <f>IFERROR(__xludf.DUMMYFUNCTION("IFERROR(""[""&amp;REGEXREPLACE(REGEXEXTRACT(I10, ""(\{'Over': '1'.*?'Over': '6', 'Runs': '\d+', 'Wickets': '\d+'\})""), "", 'Wickets': '\d+'"", """")&amp;""]"", """")"),"[{'Over': '1', 'Runs': '12'}, {'Over': '2', 'Runs': '19'}, {'Over': '3', 'Runs': '32'}, {'Over': '4', 'Runs': '36'}, {'Over': '5', 'Runs': '46'}, {'Over': '6', 'Runs': '54'}]")</f>
        <v>[{'Over': '1', 'Runs': '12'}, {'Over': '2', 'Runs': '19'}, {'Over': '3', 'Runs': '32'}, {'Over': '4', 'Runs': '36'}, {'Over': '5', 'Runs': '46'}, {'Over': '6', 'Runs': '54'}]</v>
      </c>
      <c r="K10" s="5">
        <v>54.0</v>
      </c>
      <c r="L10" s="4" t="s">
        <v>94</v>
      </c>
      <c r="M10" s="1" t="str">
        <f>IFERROR(__xludf.DUMMYFUNCTION("IFERROR(""[""&amp;REGEXREPLACE(REGEXEXTRACT(L10, ""(\{'Over': '1'.*?'Over': '6', 'Runs': '\d+', 'Wickets': '\d+'\})""), "", 'Wickets': '\d+'"", """")&amp;""]"", ""N/A or Invalid Data"")"),"[{'Over': '1', 'Runs': '3'}, {'Over': '2', 'Runs': '13'}, {'Over': '3', 'Runs': '25'}, {'Over': '4', 'Runs': '36'}, {'Over': '5', 'Runs': '42'}, {'Over': '6', 'Runs': '48'}]")</f>
        <v>[{'Over': '1', 'Runs': '3'}, {'Over': '2', 'Runs': '13'}, {'Over': '3', 'Runs': '25'}, {'Over': '4', 'Runs': '36'}, {'Over': '5', 'Runs': '42'}, {'Over': '6', 'Runs': '48'}]</v>
      </c>
      <c r="N10" s="5">
        <v>48.0</v>
      </c>
      <c r="O10" s="5" t="str">
        <f t="shared" si="1"/>
        <v>54&amp;48</v>
      </c>
      <c r="P10" s="5">
        <f t="shared" si="2"/>
        <v>6</v>
      </c>
      <c r="Q10" s="2" t="s">
        <v>95</v>
      </c>
      <c r="R10" s="2" t="str">
        <f>IFERROR(__xludf.DUMMYFUNCTION("IFERROR(INDEX(SPLIT(H10, "" ""), 1, 1), """")"),"LSG")</f>
        <v>LSG</v>
      </c>
      <c r="S10" s="1" t="str">
        <f t="shared" si="3"/>
        <v>same</v>
      </c>
    </row>
    <row r="11">
      <c r="A11" s="2">
        <v>15.0</v>
      </c>
      <c r="B11" s="4" t="s">
        <v>96</v>
      </c>
      <c r="C11" s="4" t="s">
        <v>83</v>
      </c>
      <c r="D11" s="4" t="s">
        <v>20</v>
      </c>
      <c r="E11" s="4" t="s">
        <v>97</v>
      </c>
      <c r="F11" s="4" t="s">
        <v>58</v>
      </c>
      <c r="G11" s="4" t="s">
        <v>98</v>
      </c>
      <c r="H11" s="4" t="s">
        <v>99</v>
      </c>
      <c r="I11" s="4" t="s">
        <v>100</v>
      </c>
      <c r="J11" s="2" t="str">
        <f>IFERROR(__xludf.DUMMYFUNCTION("IFERROR(""[""&amp;REGEXREPLACE(REGEXEXTRACT(I11, ""(\{'Over': '1'.*?'Over': '6', 'Runs': '\d+', 'Wickets': '\d+'\})""), "", 'Wickets': '\d+'"", """")&amp;""]"", """")"),"[{'Over': '1', 'Runs': '7'}, {'Over': '2', 'Runs': '17'}, {'Over': '3', 'Runs': '32'}, {'Over': '4', 'Runs': '58'}, {'Over': '5', 'Runs': '70'}, {'Over': '6', 'Runs': '88'}]")</f>
        <v>[{'Over': '1', 'Runs': '7'}, {'Over': '2', 'Runs': '17'}, {'Over': '3', 'Runs': '32'}, {'Over': '4', 'Runs': '58'}, {'Over': '5', 'Runs': '70'}, {'Over': '6', 'Runs': '88'}]</v>
      </c>
      <c r="K11" s="5">
        <v>88.0</v>
      </c>
      <c r="L11" s="4" t="s">
        <v>101</v>
      </c>
      <c r="M11" s="1" t="str">
        <f>IFERROR(__xludf.DUMMYFUNCTION("IFERROR(""[""&amp;REGEXREPLACE(REGEXEXTRACT(L11, ""(\{'Over': '1'.*?'Over': '6', 'Runs': '\d+', 'Wickets': '\d+'\})""), "", 'Wickets': '\d+'"", """")&amp;""]"", ""N/A or Invalid Data"")"),"[{'Over': '1', 'Runs': '11'}, {'Over': '2', 'Runs': '21'}, {'Over': '3', 'Runs': '26'}, {'Over': '4', 'Runs': '27'}, {'Over': '5', 'Runs': '40'}, {'Over': '6', 'Runs': '51'}]")</f>
        <v>[{'Over': '1', 'Runs': '11'}, {'Over': '2', 'Runs': '21'}, {'Over': '3', 'Runs': '26'}, {'Over': '4', 'Runs': '27'}, {'Over': '5', 'Runs': '40'}, {'Over': '6', 'Runs': '51'}]</v>
      </c>
      <c r="N11" s="5">
        <v>51.0</v>
      </c>
      <c r="O11" s="5" t="str">
        <f t="shared" si="1"/>
        <v>88&amp;51</v>
      </c>
      <c r="P11" s="5">
        <f t="shared" si="2"/>
        <v>37</v>
      </c>
      <c r="Q11" s="2" t="s">
        <v>72</v>
      </c>
      <c r="R11" s="2" t="str">
        <f>IFERROR(__xludf.DUMMYFUNCTION("IFERROR(INDEX(SPLIT(H11, "" ""), 1, 1), """")"),"KKR")</f>
        <v>KKR</v>
      </c>
      <c r="S11" s="1" t="str">
        <f t="shared" si="3"/>
        <v>same</v>
      </c>
    </row>
    <row r="12">
      <c r="A12" s="2">
        <v>16.0</v>
      </c>
      <c r="B12" s="4" t="s">
        <v>102</v>
      </c>
      <c r="C12" s="4" t="s">
        <v>103</v>
      </c>
      <c r="D12" s="4" t="s">
        <v>42</v>
      </c>
      <c r="E12" s="4" t="s">
        <v>104</v>
      </c>
      <c r="F12" s="4" t="s">
        <v>76</v>
      </c>
      <c r="G12" s="4" t="s">
        <v>105</v>
      </c>
      <c r="H12" s="4" t="s">
        <v>106</v>
      </c>
      <c r="I12" s="4" t="s">
        <v>107</v>
      </c>
      <c r="J12" s="2" t="str">
        <f>IFERROR(__xludf.DUMMYFUNCTION("IFERROR(""[""&amp;REGEXREPLACE(REGEXEXTRACT(I12, ""(\{'Over': '1'.*?'Over': '6', 'Runs': '\d+', 'Wickets': '\d+'\})""), "", 'Wickets': '\d+'"", """")&amp;""]"", """")"),"[{'Over': '1', 'Runs': '7'}, {'Over': '2', 'Runs': '18'}, {'Over': '3', 'Runs': '29'}, {'Over': '4', 'Runs': '35'}, {'Over': '5', 'Runs': '41'}, {'Over': '6', 'Runs': '52'}]")</f>
        <v>[{'Over': '1', 'Runs': '7'}, {'Over': '2', 'Runs': '18'}, {'Over': '3', 'Runs': '29'}, {'Over': '4', 'Runs': '35'}, {'Over': '5', 'Runs': '41'}, {'Over': '6', 'Runs': '52'}]</v>
      </c>
      <c r="K12" s="5">
        <v>52.0</v>
      </c>
      <c r="L12" s="4" t="s">
        <v>108</v>
      </c>
      <c r="M12" s="1" t="str">
        <f>IFERROR(__xludf.DUMMYFUNCTION("IFERROR(""[""&amp;REGEXREPLACE(REGEXEXTRACT(L12, ""(\{'Over': '1'.*?'Over': '6', 'Runs': '\d+', 'Wickets': '\d+'\})""), "", 'Wickets': '\d+'"", """")&amp;""]"", ""N/A or Invalid Data"")"),"[{'Over': '1', 'Runs': '13'}, {'Over': '2', 'Runs': '19'}, {'Over': '3', 'Runs': '27'}, {'Over': '4', 'Runs': '39'}, {'Over': '5', 'Runs': '48'}, {'Over': '6', 'Runs': '54'}]")</f>
        <v>[{'Over': '1', 'Runs': '13'}, {'Over': '2', 'Runs': '19'}, {'Over': '3', 'Runs': '27'}, {'Over': '4', 'Runs': '39'}, {'Over': '5', 'Runs': '48'}, {'Over': '6', 'Runs': '54'}]</v>
      </c>
      <c r="N12" s="5">
        <v>54.0</v>
      </c>
      <c r="O12" s="5" t="str">
        <f t="shared" si="1"/>
        <v>52&amp;54</v>
      </c>
      <c r="P12" s="5">
        <f t="shared" si="2"/>
        <v>-2</v>
      </c>
      <c r="Q12" s="2" t="s">
        <v>81</v>
      </c>
      <c r="R12" s="2" t="str">
        <f>IFERROR(__xludf.DUMMYFUNCTION("IFERROR(INDEX(SPLIT(H12, "" ""), 1, 1), """")"),"PBKS")</f>
        <v>PBKS</v>
      </c>
      <c r="S12" s="1" t="str">
        <f t="shared" si="3"/>
        <v>same</v>
      </c>
    </row>
    <row r="13">
      <c r="A13" s="2">
        <v>18.0</v>
      </c>
      <c r="B13" s="4" t="s">
        <v>109</v>
      </c>
      <c r="C13" s="4" t="s">
        <v>29</v>
      </c>
      <c r="D13" s="4" t="s">
        <v>66</v>
      </c>
      <c r="E13" s="4" t="s">
        <v>110</v>
      </c>
      <c r="F13" s="4" t="s">
        <v>30</v>
      </c>
      <c r="G13" s="4" t="s">
        <v>111</v>
      </c>
      <c r="H13" s="4" t="s">
        <v>112</v>
      </c>
      <c r="I13" s="4" t="s">
        <v>113</v>
      </c>
      <c r="J13" s="2" t="str">
        <f>IFERROR(__xludf.DUMMYFUNCTION("IFERROR(""[""&amp;REGEXREPLACE(REGEXEXTRACT(I13, ""(\{'Over': '1'.*?'Over': '6', 'Runs': '\d+', 'Wickets': '\d+'\})""), "", 'Wickets': '\d+'"", """")&amp;""]"", """")"),"[{'Over': '1', 'Runs': '8'}, {'Over': '2', 'Runs': '21'}, {'Over': '3', 'Runs': '29'}, {'Over': '4', 'Runs': '42'}, {'Over': '5', 'Runs': '45'}, {'Over': '6', 'Runs': '53'}]")</f>
        <v>[{'Over': '1', 'Runs': '8'}, {'Over': '2', 'Runs': '21'}, {'Over': '3', 'Runs': '29'}, {'Over': '4', 'Runs': '42'}, {'Over': '5', 'Runs': '45'}, {'Over': '6', 'Runs': '53'}]</v>
      </c>
      <c r="K13" s="5">
        <v>53.0</v>
      </c>
      <c r="L13" s="4" t="s">
        <v>114</v>
      </c>
      <c r="M13" s="1" t="str">
        <f>IFERROR(__xludf.DUMMYFUNCTION("IFERROR(""[""&amp;REGEXREPLACE(REGEXEXTRACT(L13, ""(\{'Over': '1'.*?'Over': '6', 'Runs': '\d+', 'Wickets': '\d+'\})""), "", 'Wickets': '\d+'"", """")&amp;""]"", ""N/A or Invalid Data"")"),"[{'Over': '1', 'Runs': '1'}, {'Over': '2', 'Runs': '9'}, {'Over': '3', 'Runs': '16'}, {'Over': '4', 'Runs': '25'}, {'Over': '5', 'Runs': '34'}, {'Over': '6', 'Runs': '54'}]")</f>
        <v>[{'Over': '1', 'Runs': '1'}, {'Over': '2', 'Runs': '9'}, {'Over': '3', 'Runs': '16'}, {'Over': '4', 'Runs': '25'}, {'Over': '5', 'Runs': '34'}, {'Over': '6', 'Runs': '54'}]</v>
      </c>
      <c r="N13" s="5">
        <v>54.0</v>
      </c>
      <c r="O13" s="5" t="str">
        <f t="shared" si="1"/>
        <v>53&amp;54</v>
      </c>
      <c r="P13" s="5">
        <f t="shared" si="2"/>
        <v>-1</v>
      </c>
      <c r="Q13" s="2" t="s">
        <v>37</v>
      </c>
      <c r="R13" s="2" t="str">
        <f>IFERROR(__xludf.DUMMYFUNCTION("IFERROR(INDEX(SPLIT(H13, "" ""), 1, 1), """")"),"RR")</f>
        <v>RR</v>
      </c>
      <c r="S13" s="1" t="str">
        <f t="shared" si="3"/>
        <v>same</v>
      </c>
    </row>
    <row r="14">
      <c r="A14" s="2">
        <v>19.0</v>
      </c>
      <c r="B14" s="4" t="s">
        <v>115</v>
      </c>
      <c r="C14" s="4" t="s">
        <v>116</v>
      </c>
      <c r="D14" s="4" t="s">
        <v>51</v>
      </c>
      <c r="E14" s="4" t="s">
        <v>117</v>
      </c>
      <c r="F14" s="4" t="s">
        <v>58</v>
      </c>
      <c r="G14" s="4" t="s">
        <v>118</v>
      </c>
      <c r="H14" s="4" t="s">
        <v>119</v>
      </c>
      <c r="I14" s="4" t="s">
        <v>120</v>
      </c>
      <c r="J14" s="2" t="str">
        <f>IFERROR(__xludf.DUMMYFUNCTION("IFERROR(""[""&amp;REGEXREPLACE(REGEXEXTRACT(I14, ""(\{'Over': '1'.*?'Over': '6', 'Runs': '\d+', 'Wickets': '\d+'\})""), "", 'Wickets': '\d+'"", """")&amp;""]"", """")"),"[{'Over': '1', 'Runs': '7'}, {'Over': '2', 'Runs': '21'}, {'Over': '3', 'Runs': '33'}, {'Over': '4', 'Runs': '46'}, {'Over': '5', 'Runs': '60'}, {'Over': '6', 'Runs': '75'}]")</f>
        <v>[{'Over': '1', 'Runs': '7'}, {'Over': '2', 'Runs': '21'}, {'Over': '3', 'Runs': '33'}, {'Over': '4', 'Runs': '46'}, {'Over': '5', 'Runs': '60'}, {'Over': '6', 'Runs': '75'}]</v>
      </c>
      <c r="K14" s="5">
        <v>75.0</v>
      </c>
      <c r="L14" s="4" t="s">
        <v>121</v>
      </c>
      <c r="M14" s="1" t="str">
        <f>IFERROR(__xludf.DUMMYFUNCTION("IFERROR(""[""&amp;REGEXREPLACE(REGEXEXTRACT(L14, ""(\{'Over': '1'.*?'Over': '6', 'Runs': '\d+', 'Wickets': '\d+'\})""), "", 'Wickets': '\d+'"", """")&amp;""]"", ""N/A or Invalid Data"")"),"[{'Over': '1', 'Runs': '7'}, {'Over': '2', 'Runs': '11'}, {'Over': '3', 'Runs': '15'}, {'Over': '4', 'Runs': '24'}, {'Over': '5', 'Runs': '33'}, {'Over': '6', 'Runs': '46'}]")</f>
        <v>[{'Over': '1', 'Runs': '7'}, {'Over': '2', 'Runs': '11'}, {'Over': '3', 'Runs': '15'}, {'Over': '4', 'Runs': '24'}, {'Over': '5', 'Runs': '33'}, {'Over': '6', 'Runs': '46'}]</v>
      </c>
      <c r="N14" s="5">
        <v>46.0</v>
      </c>
      <c r="O14" s="5" t="str">
        <f t="shared" si="1"/>
        <v>75&amp;46</v>
      </c>
      <c r="P14" s="5">
        <f t="shared" si="2"/>
        <v>29</v>
      </c>
      <c r="Q14" s="2" t="s">
        <v>122</v>
      </c>
      <c r="R14" s="2" t="str">
        <f>IFERROR(__xludf.DUMMYFUNCTION("IFERROR(INDEX(SPLIT(H14, "" ""), 1, 1), """")"),"MI")</f>
        <v>MI</v>
      </c>
      <c r="S14" s="1" t="str">
        <f t="shared" si="3"/>
        <v>same</v>
      </c>
    </row>
    <row r="15">
      <c r="A15" s="2">
        <v>22.0</v>
      </c>
      <c r="B15" s="4" t="s">
        <v>123</v>
      </c>
      <c r="C15" s="4" t="s">
        <v>124</v>
      </c>
      <c r="D15" s="4" t="s">
        <v>22</v>
      </c>
      <c r="E15" s="4" t="s">
        <v>125</v>
      </c>
      <c r="F15" s="4" t="s">
        <v>76</v>
      </c>
      <c r="G15" s="4" t="s">
        <v>126</v>
      </c>
      <c r="H15" s="4" t="s">
        <v>127</v>
      </c>
      <c r="I15" s="4" t="s">
        <v>128</v>
      </c>
      <c r="J15" s="2" t="str">
        <f>IFERROR(__xludf.DUMMYFUNCTION("IFERROR(""[""&amp;REGEXREPLACE(REGEXEXTRACT(I15, ""(\{'Over': '1'.*?'Over': '6', 'Runs': '\d+', 'Wickets': '\d+'\})""), "", 'Wickets': '\d+'"", """")&amp;""]"", """")"),"[{'Over': '1', 'Runs': '4'}, {'Over': '2', 'Runs': '10'}, {'Over': '3', 'Runs': '26'}, {'Over': '4', 'Runs': '28'}, {'Over': '5', 'Runs': '39'}, {'Over': '6', 'Runs': '40'}]")</f>
        <v>[{'Over': '1', 'Runs': '4'}, {'Over': '2', 'Runs': '10'}, {'Over': '3', 'Runs': '26'}, {'Over': '4', 'Runs': '28'}, {'Over': '5', 'Runs': '39'}, {'Over': '6', 'Runs': '40'}]</v>
      </c>
      <c r="K15" s="5">
        <v>40.0</v>
      </c>
      <c r="L15" s="4" t="s">
        <v>129</v>
      </c>
      <c r="M15" s="1" t="str">
        <f>IFERROR(__xludf.DUMMYFUNCTION("IFERROR(""[""&amp;REGEXREPLACE(REGEXEXTRACT(L15, ""(\{'Over': '1'.*?'Over': '6', 'Runs': '\d+', 'Wickets': '\d+'\})""), "", 'Wickets': '\d+'"", """")&amp;""]"", ""N/A or Invalid Data"")"),"[{'Over': '1', 'Runs': '1'}, {'Over': '2', 'Runs': '2'}, {'Over': '3', 'Runs': '11'}, {'Over': '4', 'Runs': '14'}, {'Over': '5', 'Runs': '20'}, {'Over': '6', 'Runs': '27'}]")</f>
        <v>[{'Over': '1', 'Runs': '1'}, {'Over': '2', 'Runs': '2'}, {'Over': '3', 'Runs': '11'}, {'Over': '4', 'Runs': '14'}, {'Over': '5', 'Runs': '20'}, {'Over': '6', 'Runs': '27'}]</v>
      </c>
      <c r="N15" s="5">
        <v>27.0</v>
      </c>
      <c r="O15" s="5" t="str">
        <f t="shared" si="1"/>
        <v>40&amp;27</v>
      </c>
      <c r="P15" s="5">
        <f t="shared" si="2"/>
        <v>13</v>
      </c>
      <c r="Q15" s="2" t="s">
        <v>27</v>
      </c>
      <c r="R15" s="2" t="str">
        <f>IFERROR(__xludf.DUMMYFUNCTION("IFERROR(INDEX(SPLIT(H15, "" ""), 1, 1), """")"),"SRH")</f>
        <v>SRH</v>
      </c>
      <c r="S15" s="1" t="str">
        <f t="shared" si="3"/>
        <v>same</v>
      </c>
    </row>
    <row r="16">
      <c r="A16" s="2">
        <v>23.0</v>
      </c>
      <c r="B16" s="4" t="s">
        <v>130</v>
      </c>
      <c r="C16" s="4" t="s">
        <v>29</v>
      </c>
      <c r="D16" s="4" t="s">
        <v>30</v>
      </c>
      <c r="E16" s="4" t="s">
        <v>131</v>
      </c>
      <c r="F16" s="4" t="s">
        <v>42</v>
      </c>
      <c r="G16" s="4" t="s">
        <v>132</v>
      </c>
      <c r="H16" s="4" t="s">
        <v>133</v>
      </c>
      <c r="I16" s="4" t="s">
        <v>134</v>
      </c>
      <c r="J16" s="2" t="str">
        <f>IFERROR(__xludf.DUMMYFUNCTION("IFERROR(""[""&amp;REGEXREPLACE(REGEXEXTRACT(I16, ""(\{'Over': '1'.*?'Over': '6', 'Runs': '\d+', 'Wickets': '\d+'\})""), "", 'Wickets': '\d+'"", """")&amp;""]"", """")"),"[{'Over': '1', 'Runs': '6'}, {'Over': '2', 'Runs': '13'}, {'Over': '3', 'Runs': '22'}, {'Over': '4', 'Runs': '28'}, {'Over': '5', 'Runs': '41'}, {'Over': '6', 'Runs': '43'}]")</f>
        <v>[{'Over': '1', 'Runs': '6'}, {'Over': '2', 'Runs': '13'}, {'Over': '3', 'Runs': '22'}, {'Over': '4', 'Runs': '28'}, {'Over': '5', 'Runs': '41'}, {'Over': '6', 'Runs': '43'}]</v>
      </c>
      <c r="K16" s="5">
        <v>43.0</v>
      </c>
      <c r="L16" s="4" t="s">
        <v>135</v>
      </c>
      <c r="M16" s="1" t="str">
        <f>IFERROR(__xludf.DUMMYFUNCTION("IFERROR(""[""&amp;REGEXREPLACE(REGEXEXTRACT(L16, ""(\{'Over': '1'.*?'Over': '6', 'Runs': '\d+', 'Wickets': '\d+'\})""), "", 'Wickets': '\d+'"", """")&amp;""]"", ""N/A or Invalid Data"")"),"[{'Over': '1', 'Runs': '5'}, {'Over': '2', 'Runs': '15'}, {'Over': '3', 'Runs': '18'}, {'Over': '4', 'Runs': '26'}, {'Over': '5', 'Runs': '30'}, {'Over': '6', 'Runs': '44'}]")</f>
        <v>[{'Over': '1', 'Runs': '5'}, {'Over': '2', 'Runs': '15'}, {'Over': '3', 'Runs': '18'}, {'Over': '4', 'Runs': '26'}, {'Over': '5', 'Runs': '30'}, {'Over': '6', 'Runs': '44'}]</v>
      </c>
      <c r="N16" s="5">
        <v>44.0</v>
      </c>
      <c r="O16" s="5" t="str">
        <f t="shared" si="1"/>
        <v>43&amp;44</v>
      </c>
      <c r="P16" s="5">
        <f t="shared" si="2"/>
        <v>-1</v>
      </c>
      <c r="Q16" s="2" t="s">
        <v>136</v>
      </c>
      <c r="R16" s="2" t="str">
        <f>IFERROR(__xludf.DUMMYFUNCTION("IFERROR(INDEX(SPLIT(H16, "" ""), 1, 1), """")"),"GT")</f>
        <v>GT</v>
      </c>
      <c r="S16" s="1" t="str">
        <f t="shared" si="3"/>
        <v>same</v>
      </c>
    </row>
    <row r="17">
      <c r="A17" s="2">
        <v>24.0</v>
      </c>
      <c r="B17" s="4" t="s">
        <v>137</v>
      </c>
      <c r="C17" s="4" t="s">
        <v>116</v>
      </c>
      <c r="D17" s="4" t="s">
        <v>66</v>
      </c>
      <c r="E17" s="4" t="s">
        <v>138</v>
      </c>
      <c r="F17" s="4" t="s">
        <v>51</v>
      </c>
      <c r="G17" s="4" t="s">
        <v>139</v>
      </c>
      <c r="H17" s="4" t="s">
        <v>140</v>
      </c>
      <c r="I17" s="4" t="s">
        <v>141</v>
      </c>
      <c r="J17" s="2" t="str">
        <f>IFERROR(__xludf.DUMMYFUNCTION("IFERROR(""[""&amp;REGEXREPLACE(REGEXEXTRACT(I17, ""(\{'Over': '1'.*?'Over': '6', 'Runs': '\d+', 'Wickets': '\d+'\})""), "", 'Wickets': '\d+'"", """")&amp;""]"", """")"),"[{'Over': '1', 'Runs': '7'}, {'Over': '2', 'Runs': '14'}, {'Over': '3', 'Runs': '18'}, {'Over': '4', 'Runs': '28'}, {'Over': '5', 'Runs': '35'}, {'Over': '6', 'Runs': '44'}]")</f>
        <v>[{'Over': '1', 'Runs': '7'}, {'Over': '2', 'Runs': '14'}, {'Over': '3', 'Runs': '18'}, {'Over': '4', 'Runs': '28'}, {'Over': '5', 'Runs': '35'}, {'Over': '6', 'Runs': '44'}]</v>
      </c>
      <c r="K17" s="5">
        <v>44.0</v>
      </c>
      <c r="L17" s="4" t="s">
        <v>142</v>
      </c>
      <c r="M17" s="1" t="str">
        <f>IFERROR(__xludf.DUMMYFUNCTION("IFERROR(""[""&amp;REGEXREPLACE(REGEXEXTRACT(L17, ""(\{'Over': '1'.*?'Over': '6', 'Runs': '\d+', 'Wickets': '\d+'\})""), "", 'Wickets': '\d+'"", """")&amp;""]"", ""N/A or Invalid Data"")"),"[{'Over': '1', 'Runs': '2'}, {'Over': '2', 'Runs': '9'}, {'Over': '3', 'Runs': '23'}, {'Over': '4', 'Runs': '32'}, {'Over': '5', 'Runs': '55'}, {'Over': '6', 'Runs': '72'}]")</f>
        <v>[{'Over': '1', 'Runs': '2'}, {'Over': '2', 'Runs': '9'}, {'Over': '3', 'Runs': '23'}, {'Over': '4', 'Runs': '32'}, {'Over': '5', 'Runs': '55'}, {'Over': '6', 'Runs': '72'}]</v>
      </c>
      <c r="N17" s="5">
        <v>72.0</v>
      </c>
      <c r="O17" s="5" t="str">
        <f t="shared" si="1"/>
        <v>44&amp;72</v>
      </c>
      <c r="P17" s="5">
        <f t="shared" si="2"/>
        <v>-28</v>
      </c>
      <c r="Q17" s="2" t="s">
        <v>122</v>
      </c>
      <c r="R17" s="2" t="str">
        <f>IFERROR(__xludf.DUMMYFUNCTION("IFERROR(INDEX(SPLIT(H17, "" ""), 1, 1), """")"),"MI")</f>
        <v>MI</v>
      </c>
      <c r="S17" s="1" t="str">
        <f t="shared" si="3"/>
        <v>same</v>
      </c>
    </row>
    <row r="18">
      <c r="A18" s="2">
        <v>28.0</v>
      </c>
      <c r="B18" s="4" t="s">
        <v>143</v>
      </c>
      <c r="C18" s="4" t="s">
        <v>116</v>
      </c>
      <c r="D18" s="4" t="s">
        <v>40</v>
      </c>
      <c r="E18" s="4" t="s">
        <v>144</v>
      </c>
      <c r="F18" s="4" t="s">
        <v>51</v>
      </c>
      <c r="G18" s="4" t="s">
        <v>145</v>
      </c>
      <c r="H18" s="4" t="s">
        <v>146</v>
      </c>
      <c r="I18" s="4" t="s">
        <v>147</v>
      </c>
      <c r="J18" s="2" t="str">
        <f>IFERROR(__xludf.DUMMYFUNCTION("IFERROR(""[""&amp;REGEXREPLACE(REGEXEXTRACT(I18, ""(\{'Over': '1'.*?'Over': '6', 'Runs': '\d+', 'Wickets': '\d+'\})""), "", 'Wickets': '\d+'"", """")&amp;""]"", """")"),"[{'Over': '1', 'Runs': '6'}, {'Over': '2', 'Runs': '9'}, {'Over': '3', 'Runs': '18'}, {'Over': '4', 'Runs': '24'}, {'Over': '5', 'Runs': '38'}, {'Over': '6', 'Runs': '48'}]")</f>
        <v>[{'Over': '1', 'Runs': '6'}, {'Over': '2', 'Runs': '9'}, {'Over': '3', 'Runs': '18'}, {'Over': '4', 'Runs': '24'}, {'Over': '5', 'Runs': '38'}, {'Over': '6', 'Runs': '48'}]</v>
      </c>
      <c r="K18" s="5">
        <v>48.0</v>
      </c>
      <c r="L18" s="4" t="s">
        <v>148</v>
      </c>
      <c r="M18" s="1" t="str">
        <f>IFERROR(__xludf.DUMMYFUNCTION("IFERROR(""[""&amp;REGEXREPLACE(REGEXEXTRACT(L18, ""(\{'Over': '1'.*?'Over': '6', 'Runs': '\d+', 'Wickets': '\d+'\})""), "", 'Wickets': '\d+'"", """")&amp;""]"", ""N/A or Invalid Data"")"),"[{'Over': '1', 'Runs': '5'}, {'Over': '2', 'Runs': '13'}, {'Over': '3', 'Runs': '25'}, {'Over': '4', 'Runs': '38'}, {'Over': '5', 'Runs': '53'}, {'Over': '6', 'Runs': '63'}]")</f>
        <v>[{'Over': '1', 'Runs': '5'}, {'Over': '2', 'Runs': '13'}, {'Over': '3', 'Runs': '25'}, {'Over': '4', 'Runs': '38'}, {'Over': '5', 'Runs': '53'}, {'Over': '6', 'Runs': '63'}]</v>
      </c>
      <c r="N18" s="5">
        <v>63.0</v>
      </c>
      <c r="O18" s="5" t="str">
        <f t="shared" si="1"/>
        <v>48&amp;63</v>
      </c>
      <c r="P18" s="5">
        <f t="shared" si="2"/>
        <v>-15</v>
      </c>
      <c r="Q18" s="2" t="s">
        <v>122</v>
      </c>
      <c r="R18" s="2" t="str">
        <f>IFERROR(__xludf.DUMMYFUNCTION("IFERROR(INDEX(SPLIT(H18, "" ""), 1, 1), """")"),"CSK")</f>
        <v>CSK</v>
      </c>
      <c r="S18" s="1" t="str">
        <f t="shared" si="3"/>
        <v>different</v>
      </c>
    </row>
    <row r="19">
      <c r="A19" s="2">
        <v>29.0</v>
      </c>
      <c r="B19" s="4" t="s">
        <v>149</v>
      </c>
      <c r="C19" s="4" t="s">
        <v>65</v>
      </c>
      <c r="D19" s="4" t="s">
        <v>22</v>
      </c>
      <c r="E19" s="4" t="s">
        <v>150</v>
      </c>
      <c r="F19" s="4" t="s">
        <v>66</v>
      </c>
      <c r="G19" s="4" t="s">
        <v>151</v>
      </c>
      <c r="H19" s="4" t="s">
        <v>152</v>
      </c>
      <c r="I19" s="4" t="s">
        <v>153</v>
      </c>
      <c r="J19" s="2" t="str">
        <f>IFERROR(__xludf.DUMMYFUNCTION("IFERROR(""[""&amp;REGEXREPLACE(REGEXEXTRACT(I19, ""(\{'Over': '1'.*?'Over': '6', 'Runs': '\d+', 'Wickets': '\d+'\})""), "", 'Wickets': '\d+'"", """")&amp;""]"", """")"),"[{'Over': '1', 'Runs': '7'}, {'Over': '2', 'Runs': '27'}, {'Over': '3', 'Runs': '31'}, {'Over': '4', 'Runs': '38'}, {'Over': '5', 'Runs': '56'}, {'Over': '6', 'Runs': '76'}]")</f>
        <v>[{'Over': '1', 'Runs': '7'}, {'Over': '2', 'Runs': '27'}, {'Over': '3', 'Runs': '31'}, {'Over': '4', 'Runs': '38'}, {'Over': '5', 'Runs': '56'}, {'Over': '6', 'Runs': '76'}]</v>
      </c>
      <c r="K19" s="5">
        <v>76.0</v>
      </c>
      <c r="L19" s="4" t="s">
        <v>154</v>
      </c>
      <c r="M19" s="1" t="str">
        <f>IFERROR(__xludf.DUMMYFUNCTION("IFERROR(""[""&amp;REGEXREPLACE(REGEXEXTRACT(L19, ""(\{'Over': '1'.*?'Over': '6', 'Runs': '\d+', 'Wickets': '\d+'\})""), "", 'Wickets': '\d+'"", """")&amp;""]"", ""N/A or Invalid Data"")"),"[{'Over': '1', 'Runs': '10'}, {'Over': '2', 'Runs': '21'}, {'Over': '3', 'Runs': '39'}, {'Over': '4', 'Runs': '56'}, {'Over': '5', 'Runs': '70'}, {'Over': '6', 'Runs': '79'}]")</f>
        <v>[{'Over': '1', 'Runs': '10'}, {'Over': '2', 'Runs': '21'}, {'Over': '3', 'Runs': '39'}, {'Over': '4', 'Runs': '56'}, {'Over': '5', 'Runs': '70'}, {'Over': '6', 'Runs': '79'}]</v>
      </c>
      <c r="N19" s="5">
        <v>79.0</v>
      </c>
      <c r="O19" s="5" t="str">
        <f t="shared" si="1"/>
        <v>76&amp;79</v>
      </c>
      <c r="P19" s="5">
        <f t="shared" si="2"/>
        <v>-3</v>
      </c>
      <c r="Q19" s="2" t="s">
        <v>155</v>
      </c>
      <c r="R19" s="2" t="str">
        <f>IFERROR(__xludf.DUMMYFUNCTION("IFERROR(INDEX(SPLIT(H19, "" ""), 1, 1), """")"),"SRH")</f>
        <v>SRH</v>
      </c>
      <c r="S19" s="1" t="str">
        <f t="shared" si="3"/>
        <v>different</v>
      </c>
    </row>
    <row r="20">
      <c r="A20" s="2">
        <v>30.0</v>
      </c>
      <c r="B20" s="4" t="s">
        <v>156</v>
      </c>
      <c r="C20" s="4" t="s">
        <v>19</v>
      </c>
      <c r="D20" s="4" t="s">
        <v>20</v>
      </c>
      <c r="E20" s="4" t="s">
        <v>157</v>
      </c>
      <c r="F20" s="4" t="s">
        <v>30</v>
      </c>
      <c r="G20" s="4" t="s">
        <v>158</v>
      </c>
      <c r="H20" s="4" t="s">
        <v>159</v>
      </c>
      <c r="I20" s="4" t="s">
        <v>160</v>
      </c>
      <c r="J20" s="2" t="str">
        <f>IFERROR(__xludf.DUMMYFUNCTION("IFERROR(""[""&amp;REGEXREPLACE(REGEXEXTRACT(I20, ""(\{'Over': '1'.*?'Over': '6', 'Runs': '\d+', 'Wickets': '\d+'\})""), "", 'Wickets': '\d+'"", """")&amp;""]"", """")"),"[{'Over': '1', 'Runs': '2'}, {'Over': '2', 'Runs': '12'}, {'Over': '3', 'Runs': '20'}, {'Over': '4', 'Runs': '26'}, {'Over': '5', 'Runs': '40'}, {'Over': '6', 'Runs': '56'}]")</f>
        <v>[{'Over': '1', 'Runs': '2'}, {'Over': '2', 'Runs': '12'}, {'Over': '3', 'Runs': '20'}, {'Over': '4', 'Runs': '26'}, {'Over': '5', 'Runs': '40'}, {'Over': '6', 'Runs': '56'}]</v>
      </c>
      <c r="K20" s="5">
        <v>56.0</v>
      </c>
      <c r="L20" s="4" t="s">
        <v>161</v>
      </c>
      <c r="M20" s="1" t="str">
        <f>IFERROR(__xludf.DUMMYFUNCTION("IFERROR(""[""&amp;REGEXREPLACE(REGEXEXTRACT(L20, ""(\{'Over': '1'.*?'Over': '6', 'Runs': '\d+', 'Wickets': '\d+'\})""), "", 'Wickets': '\d+'"", """")&amp;""]"", ""N/A or Invalid Data"")"),"[{'Over': '1', 'Runs': '11'}, {'Over': '2', 'Runs': '23'}, {'Over': '3', 'Runs': '36'}, {'Over': '4', 'Runs': '46'}, {'Over': '5', 'Runs': '53'}, {'Over': '6', 'Runs': '76'}]")</f>
        <v>[{'Over': '1', 'Runs': '11'}, {'Over': '2', 'Runs': '23'}, {'Over': '3', 'Runs': '36'}, {'Over': '4', 'Runs': '46'}, {'Over': '5', 'Runs': '53'}, {'Over': '6', 'Runs': '76'}]</v>
      </c>
      <c r="N20" s="5">
        <v>76.0</v>
      </c>
      <c r="O20" s="5" t="str">
        <f t="shared" si="1"/>
        <v>56&amp;76</v>
      </c>
      <c r="P20" s="5">
        <f t="shared" si="2"/>
        <v>-20</v>
      </c>
      <c r="Q20" s="2" t="s">
        <v>37</v>
      </c>
      <c r="R20" s="2" t="str">
        <f>IFERROR(__xludf.DUMMYFUNCTION("IFERROR(INDEX(SPLIT(H20, "" ""), 1, 1), """")"),"RR")</f>
        <v>RR</v>
      </c>
      <c r="S20" s="1" t="str">
        <f t="shared" si="3"/>
        <v>same</v>
      </c>
    </row>
    <row r="21">
      <c r="A21" s="2">
        <v>32.0</v>
      </c>
      <c r="B21" s="4" t="s">
        <v>162</v>
      </c>
      <c r="C21" s="4" t="s">
        <v>124</v>
      </c>
      <c r="D21" s="4" t="s">
        <v>51</v>
      </c>
      <c r="E21" s="4" t="s">
        <v>163</v>
      </c>
      <c r="F21" s="4" t="s">
        <v>76</v>
      </c>
      <c r="G21" s="4" t="s">
        <v>164</v>
      </c>
      <c r="H21" s="4" t="s">
        <v>165</v>
      </c>
      <c r="I21" s="4" t="s">
        <v>166</v>
      </c>
      <c r="J21" s="2" t="str">
        <f>IFERROR(__xludf.DUMMYFUNCTION("IFERROR(""[""&amp;REGEXREPLACE(REGEXEXTRACT(I21, ""(\{'Over': '1'.*?'Over': '6', 'Runs': '\d+', 'Wickets': '\d+'\})""), "", 'Wickets': '\d+'"", """")&amp;""]"", """")"),"[{'Over': '1', 'Runs': '7'}, {'Over': '2', 'Runs': '18'}, {'Over': '3', 'Runs': '27'}, {'Over': '4', 'Runs': '36'}, {'Over': '5', 'Runs': '43'}, {'Over': '6', 'Runs': '54'}]")</f>
        <v>[{'Over': '1', 'Runs': '7'}, {'Over': '2', 'Runs': '18'}, {'Over': '3', 'Runs': '27'}, {'Over': '4', 'Runs': '36'}, {'Over': '5', 'Runs': '43'}, {'Over': '6', 'Runs': '54'}]</v>
      </c>
      <c r="K21" s="5">
        <v>54.0</v>
      </c>
      <c r="L21" s="4" t="s">
        <v>167</v>
      </c>
      <c r="M21" s="1" t="str">
        <f>IFERROR(__xludf.DUMMYFUNCTION("IFERROR(""[""&amp;REGEXREPLACE(REGEXEXTRACT(L21, ""(\{'Over': '1'.*?'Over': '6', 'Runs': '\d+', 'Wickets': '\d+'\})""), "", 'Wickets': '\d+'"", """")&amp;""]"", ""N/A or Invalid Data"")"),"[{'Over': '1', 'Runs': '12'}, {'Over': '2', 'Runs': '14'}, {'Over': '3', 'Runs': '21'}, {'Over': '4', 'Runs': '28'}, {'Over': '5', 'Runs': '39'}, {'Over': '6', 'Runs': '40'}]")</f>
        <v>[{'Over': '1', 'Runs': '12'}, {'Over': '2', 'Runs': '14'}, {'Over': '3', 'Runs': '21'}, {'Over': '4', 'Runs': '28'}, {'Over': '5', 'Runs': '39'}, {'Over': '6', 'Runs': '40'}]</v>
      </c>
      <c r="N21" s="5">
        <v>40.0</v>
      </c>
      <c r="O21" s="5" t="str">
        <f t="shared" si="1"/>
        <v>54&amp;40</v>
      </c>
      <c r="P21" s="5">
        <f t="shared" si="2"/>
        <v>14</v>
      </c>
      <c r="Q21" s="2" t="s">
        <v>122</v>
      </c>
      <c r="R21" s="2" t="str">
        <f>IFERROR(__xludf.DUMMYFUNCTION("IFERROR(INDEX(SPLIT(H21, "" ""), 1, 1), """")"),"MI")</f>
        <v>MI</v>
      </c>
      <c r="S21" s="1" t="str">
        <f t="shared" si="3"/>
        <v>same</v>
      </c>
    </row>
    <row r="22">
      <c r="A22" s="2">
        <v>34.0</v>
      </c>
      <c r="B22" s="4" t="s">
        <v>168</v>
      </c>
      <c r="C22" s="4" t="s">
        <v>169</v>
      </c>
      <c r="D22" s="4" t="s">
        <v>22</v>
      </c>
      <c r="E22" s="4" t="s">
        <v>170</v>
      </c>
      <c r="F22" s="4" t="s">
        <v>58</v>
      </c>
      <c r="G22" s="4" t="s">
        <v>171</v>
      </c>
      <c r="H22" s="4" t="s">
        <v>172</v>
      </c>
      <c r="I22" s="4" t="s">
        <v>173</v>
      </c>
      <c r="J22" s="2" t="str">
        <f>IFERROR(__xludf.DUMMYFUNCTION("IFERROR(""[""&amp;REGEXREPLACE(REGEXEXTRACT(I22, ""(\{'Over': '1'.*?'Over': '6', 'Runs': '\d+', 'Wickets': '\d+'\})""), "", 'Wickets': '\d+'"", """")&amp;""]"", """")"),"[{'Over': '1', 'Runs': '19'}, {'Over': '2', 'Runs': '40'}, {'Over': '3', 'Runs': '62'}, {'Over': '4', 'Runs': '83'}, {'Over': '5', 'Runs': '103'}, {'Over': '6', 'Runs': '125'}]")</f>
        <v>[{'Over': '1', 'Runs': '19'}, {'Over': '2', 'Runs': '40'}, {'Over': '3', 'Runs': '62'}, {'Over': '4', 'Runs': '83'}, {'Over': '5', 'Runs': '103'}, {'Over': '6', 'Runs': '125'}]</v>
      </c>
      <c r="K22" s="5">
        <v>125.0</v>
      </c>
      <c r="L22" s="4" t="s">
        <v>174</v>
      </c>
      <c r="M22" s="1" t="str">
        <f>IFERROR(__xludf.DUMMYFUNCTION("IFERROR(""[""&amp;REGEXREPLACE(REGEXEXTRACT(L22, ""(\{'Over': '1'.*?'Over': '6', 'Runs': '\d+', 'Wickets': '\d+'\})""), "", 'Wickets': '\d+'"", """")&amp;""]"", ""N/A or Invalid Data"")"),"[{'Over': '1', 'Runs': '16'}, {'Over': '2', 'Runs': '25'}, {'Over': '3', 'Runs': '55'}, {'Over': '4', 'Runs': '61'}, {'Over': '5', 'Runs': '81'}, {'Over': '6', 'Runs': '88'}]")</f>
        <v>[{'Over': '1', 'Runs': '16'}, {'Over': '2', 'Runs': '25'}, {'Over': '3', 'Runs': '55'}, {'Over': '4', 'Runs': '61'}, {'Over': '5', 'Runs': '81'}, {'Over': '6', 'Runs': '88'}]</v>
      </c>
      <c r="N22" s="5">
        <v>88.0</v>
      </c>
      <c r="O22" s="5" t="str">
        <f t="shared" si="1"/>
        <v>125&amp;88</v>
      </c>
      <c r="P22" s="5">
        <f t="shared" si="2"/>
        <v>37</v>
      </c>
      <c r="Q22" s="2" t="s">
        <v>27</v>
      </c>
      <c r="R22" s="2" t="str">
        <f>IFERROR(__xludf.DUMMYFUNCTION("IFERROR(INDEX(SPLIT(H22, "" ""), 1, 1), """")"),"SRH")</f>
        <v>SRH</v>
      </c>
      <c r="S22" s="1" t="str">
        <f t="shared" si="3"/>
        <v>same</v>
      </c>
    </row>
    <row r="23">
      <c r="A23" s="2">
        <v>35.0</v>
      </c>
      <c r="B23" s="4" t="s">
        <v>175</v>
      </c>
      <c r="C23" s="4" t="s">
        <v>19</v>
      </c>
      <c r="D23" s="4" t="s">
        <v>20</v>
      </c>
      <c r="E23" s="4" t="s">
        <v>176</v>
      </c>
      <c r="F23" s="4" t="s">
        <v>66</v>
      </c>
      <c r="G23" s="4" t="s">
        <v>177</v>
      </c>
      <c r="H23" s="4" t="s">
        <v>178</v>
      </c>
      <c r="I23" s="4" t="s">
        <v>179</v>
      </c>
      <c r="J23" s="2" t="str">
        <f>IFERROR(__xludf.DUMMYFUNCTION("IFERROR(""[""&amp;REGEXREPLACE(REGEXEXTRACT(I23, ""(\{'Over': '1'.*?'Over': '6', 'Runs': '\d+', 'Wickets': '\d+'\})""), "", 'Wickets': '\d+'"", """")&amp;""]"", """")"),"[{'Over': '1', 'Runs': '12'}, {'Over': '2', 'Runs': '23'}, {'Over': '3', 'Runs': '27'}, {'Over': '4', 'Runs': '55'}, {'Over': '5', 'Runs': '63'}, {'Over': '6', 'Runs': '75'}]")</f>
        <v>[{'Over': '1', 'Runs': '12'}, {'Over': '2', 'Runs': '23'}, {'Over': '3', 'Runs': '27'}, {'Over': '4', 'Runs': '55'}, {'Over': '5', 'Runs': '63'}, {'Over': '6', 'Runs': '75'}]</v>
      </c>
      <c r="K23" s="5">
        <v>75.0</v>
      </c>
      <c r="L23" s="4" t="s">
        <v>180</v>
      </c>
      <c r="M23" s="1" t="str">
        <f>IFERROR(__xludf.DUMMYFUNCTION("IFERROR(""[""&amp;REGEXREPLACE(REGEXEXTRACT(L23, ""(\{'Over': '1'.*?'Over': '6', 'Runs': '\d+', 'Wickets': '\d+'\})""), "", 'Wickets': '\d+'"", """")&amp;""]"", ""N/A or Invalid Data"")"),"[{'Over': '1', 'Runs': '12'}, {'Over': '2', 'Runs': '27'}, {'Over': '3', 'Runs': '35'}, {'Over': '4', 'Runs': '45'}, {'Over': '5', 'Runs': '52'}, {'Over': '6', 'Runs': '74'}]")</f>
        <v>[{'Over': '1', 'Runs': '12'}, {'Over': '2', 'Runs': '27'}, {'Over': '3', 'Runs': '35'}, {'Over': '4', 'Runs': '45'}, {'Over': '5', 'Runs': '52'}, {'Over': '6', 'Runs': '74'}]</v>
      </c>
      <c r="N23" s="5">
        <v>74.0</v>
      </c>
      <c r="O23" s="5" t="str">
        <f t="shared" si="1"/>
        <v>75&amp;74</v>
      </c>
      <c r="P23" s="5">
        <f t="shared" si="2"/>
        <v>1</v>
      </c>
      <c r="Q23" s="2" t="s">
        <v>72</v>
      </c>
      <c r="R23" s="2" t="str">
        <f>IFERROR(__xludf.DUMMYFUNCTION("IFERROR(INDEX(SPLIT(H23, "" ""), 1, 1), """")"),"KKR")</f>
        <v>KKR</v>
      </c>
      <c r="S23" s="1" t="str">
        <f t="shared" si="3"/>
        <v>same</v>
      </c>
    </row>
    <row r="24">
      <c r="A24" s="2">
        <v>38.0</v>
      </c>
      <c r="B24" s="4" t="s">
        <v>181</v>
      </c>
      <c r="C24" s="4" t="s">
        <v>39</v>
      </c>
      <c r="D24" s="4" t="s">
        <v>40</v>
      </c>
      <c r="E24" s="4" t="s">
        <v>182</v>
      </c>
      <c r="F24" s="4" t="s">
        <v>32</v>
      </c>
      <c r="G24" s="4" t="s">
        <v>183</v>
      </c>
      <c r="H24" s="4" t="s">
        <v>184</v>
      </c>
      <c r="I24" s="4" t="s">
        <v>185</v>
      </c>
      <c r="J24" s="2" t="str">
        <f>IFERROR(__xludf.DUMMYFUNCTION("IFERROR(""[""&amp;REGEXREPLACE(REGEXEXTRACT(I24, ""(\{'Over': '1'.*?'Over': '6', 'Runs': '\d+', 'Wickets': '\d+'\})""), "", 'Wickets': '\d+'"", """")&amp;""]"", """")"),"[{'Over': '1', 'Runs': '4'}, {'Over': '2', 'Runs': '20'}, {'Over': '3', 'Runs': '25'}, {'Over': '4', 'Runs': '37'}, {'Over': '5', 'Runs': '48'}, {'Over': '6', 'Runs': '49'}]")</f>
        <v>[{'Over': '1', 'Runs': '4'}, {'Over': '2', 'Runs': '20'}, {'Over': '3', 'Runs': '25'}, {'Over': '4', 'Runs': '37'}, {'Over': '5', 'Runs': '48'}, {'Over': '6', 'Runs': '49'}]</v>
      </c>
      <c r="K24" s="5">
        <v>49.0</v>
      </c>
      <c r="L24" s="4" t="s">
        <v>186</v>
      </c>
      <c r="M24" s="1" t="str">
        <f>IFERROR(__xludf.DUMMYFUNCTION("IFERROR(""[""&amp;REGEXREPLACE(REGEXEXTRACT(L24, ""(\{'Over': '1'.*?'Over': '6', 'Runs': '\d+', 'Wickets': '\d+'\})""), "", 'Wickets': '\d+'"", """")&amp;""]"", ""N/A or Invalid Data"")"),"[{'Over': '1', 'Runs': '1'}, {'Over': '2', 'Runs': '11'}, {'Over': '3', 'Runs': '21'}, {'Over': '4', 'Runs': '29'}, {'Over': '5', 'Runs': '33'}, {'Over': '6', 'Runs': '45'}]")</f>
        <v>[{'Over': '1', 'Runs': '1'}, {'Over': '2', 'Runs': '11'}, {'Over': '3', 'Runs': '21'}, {'Over': '4', 'Runs': '29'}, {'Over': '5', 'Runs': '33'}, {'Over': '6', 'Runs': '45'}]</v>
      </c>
      <c r="N24" s="5">
        <v>45.0</v>
      </c>
      <c r="O24" s="5" t="str">
        <f t="shared" si="1"/>
        <v>49&amp;45</v>
      </c>
      <c r="P24" s="5">
        <f t="shared" si="2"/>
        <v>4</v>
      </c>
      <c r="Q24" s="2" t="s">
        <v>47</v>
      </c>
      <c r="R24" s="2" t="str">
        <f>IFERROR(__xludf.DUMMYFUNCTION("IFERROR(INDEX(SPLIT(H24, "" ""), 1, 1), """")"),"LSG")</f>
        <v>LSG</v>
      </c>
      <c r="S24" s="1" t="str">
        <f t="shared" si="3"/>
        <v>different</v>
      </c>
    </row>
    <row r="25">
      <c r="A25" s="2">
        <v>39.0</v>
      </c>
      <c r="B25" s="4" t="s">
        <v>187</v>
      </c>
      <c r="C25" s="4" t="s">
        <v>169</v>
      </c>
      <c r="D25" s="4" t="s">
        <v>58</v>
      </c>
      <c r="E25" s="4" t="s">
        <v>188</v>
      </c>
      <c r="F25" s="4" t="s">
        <v>42</v>
      </c>
      <c r="G25" s="4" t="s">
        <v>189</v>
      </c>
      <c r="H25" s="4" t="s">
        <v>190</v>
      </c>
      <c r="I25" s="4" t="s">
        <v>191</v>
      </c>
      <c r="J25" s="2" t="str">
        <f>IFERROR(__xludf.DUMMYFUNCTION("IFERROR(""[""&amp;REGEXREPLACE(REGEXEXTRACT(I25, ""(\{'Over': '1'.*?'Over': '6', 'Runs': '\d+', 'Wickets': '\d+'\})""), "", 'Wickets': '\d+'"", """")&amp;""]"", """")"),"[{'Over': '1', 'Runs': '10'}, {'Over': '2', 'Runs': '22'}, {'Over': '3', 'Runs': '34'}, {'Over': '4', 'Runs': '36'}, {'Over': '5', 'Runs': '43'}, {'Over': '6', 'Runs': '44'}]")</f>
        <v>[{'Over': '1', 'Runs': '10'}, {'Over': '2', 'Runs': '22'}, {'Over': '3', 'Runs': '34'}, {'Over': '4', 'Runs': '36'}, {'Over': '5', 'Runs': '43'}, {'Over': '6', 'Runs': '44'}]</v>
      </c>
      <c r="K25" s="5">
        <v>44.0</v>
      </c>
      <c r="L25" s="4" t="s">
        <v>192</v>
      </c>
      <c r="M25" s="1" t="str">
        <f>IFERROR(__xludf.DUMMYFUNCTION("IFERROR(""[""&amp;REGEXREPLACE(REGEXEXTRACT(L25, ""(\{'Over': '1'.*?'Over': '6', 'Runs': '\d+', 'Wickets': '\d+'\})""), "", 'Wickets': '\d+'"", """")&amp;""]"", ""N/A or Invalid Data"")"),"[{'Over': '1', 'Runs': '9'}, {'Over': '2', 'Runs': '24'}, {'Over': '3', 'Runs': '41'}, {'Over': '4', 'Runs': '50'}, {'Over': '5', 'Runs': '60'}, {'Over': '6', 'Runs': '67'}]")</f>
        <v>[{'Over': '1', 'Runs': '9'}, {'Over': '2', 'Runs': '24'}, {'Over': '3', 'Runs': '41'}, {'Over': '4', 'Runs': '50'}, {'Over': '5', 'Runs': '60'}, {'Over': '6', 'Runs': '67'}]</v>
      </c>
      <c r="N25" s="5">
        <v>67.0</v>
      </c>
      <c r="O25" s="5" t="str">
        <f t="shared" si="1"/>
        <v>44&amp;67</v>
      </c>
      <c r="P25" s="5">
        <f t="shared" si="2"/>
        <v>-23</v>
      </c>
      <c r="Q25" s="2" t="s">
        <v>136</v>
      </c>
      <c r="R25" s="2" t="str">
        <f>IFERROR(__xludf.DUMMYFUNCTION("IFERROR(INDEX(SPLIT(H25, "" ""), 1, 1), """")"),"DC")</f>
        <v>DC</v>
      </c>
      <c r="S25" s="1" t="str">
        <f t="shared" si="3"/>
        <v>different</v>
      </c>
    </row>
    <row r="26">
      <c r="A26" s="2">
        <v>40.0</v>
      </c>
      <c r="B26" s="4" t="s">
        <v>193</v>
      </c>
      <c r="C26" s="4" t="s">
        <v>49</v>
      </c>
      <c r="D26" s="4" t="s">
        <v>66</v>
      </c>
      <c r="E26" s="4" t="s">
        <v>194</v>
      </c>
      <c r="F26" s="4" t="s">
        <v>22</v>
      </c>
      <c r="G26" s="4" t="s">
        <v>195</v>
      </c>
      <c r="H26" s="4" t="s">
        <v>196</v>
      </c>
      <c r="I26" s="4" t="s">
        <v>197</v>
      </c>
      <c r="J26" s="2" t="str">
        <f>IFERROR(__xludf.DUMMYFUNCTION("IFERROR(""[""&amp;REGEXREPLACE(REGEXEXTRACT(I26, ""(\{'Over': '1'.*?'Over': '6', 'Runs': '\d+', 'Wickets': '\d+'\})""), "", 'Wickets': '\d+'"", """")&amp;""]"", """")"),"[{'Over': '1', 'Runs': '10'}, {'Over': '2', 'Runs': '24'}, {'Over': '3', 'Runs': '43'}, {'Over': '4', 'Runs': '49'}, {'Over': '5', 'Runs': '51'}, {'Over': '6', 'Runs': '61'}]")</f>
        <v>[{'Over': '1', 'Runs': '10'}, {'Over': '2', 'Runs': '24'}, {'Over': '3', 'Runs': '43'}, {'Over': '4', 'Runs': '49'}, {'Over': '5', 'Runs': '51'}, {'Over': '6', 'Runs': '61'}]</v>
      </c>
      <c r="K26" s="5">
        <v>61.0</v>
      </c>
      <c r="L26" s="4" t="s">
        <v>198</v>
      </c>
      <c r="M26" s="1" t="str">
        <f>IFERROR(__xludf.DUMMYFUNCTION("IFERROR(""[""&amp;REGEXREPLACE(REGEXEXTRACT(L26, ""(\{'Over': '1'.*?'Over': '6', 'Runs': '\d+', 'Wickets': '\d+'\})""), "", 'Wickets': '\d+'"", """")&amp;""]"", ""N/A or Invalid Data"")"),"[{'Over': '1', 'Runs': '3'}, {'Over': '2', 'Runs': '11'}, {'Over': '3', 'Runs': '31'}, {'Over': '4', 'Runs': '37'}, {'Over': '5', 'Runs': '56'}, {'Over': '6', 'Runs': '62'}]")</f>
        <v>[{'Over': '1', 'Runs': '3'}, {'Over': '2', 'Runs': '11'}, {'Over': '3', 'Runs': '31'}, {'Over': '4', 'Runs': '37'}, {'Over': '5', 'Runs': '56'}, {'Over': '6', 'Runs': '62'}]</v>
      </c>
      <c r="N26" s="5">
        <v>62.0</v>
      </c>
      <c r="O26" s="5" t="str">
        <f t="shared" si="1"/>
        <v>61&amp;62</v>
      </c>
      <c r="P26" s="5">
        <f t="shared" si="2"/>
        <v>-1</v>
      </c>
      <c r="Q26" s="2" t="s">
        <v>27</v>
      </c>
      <c r="R26" s="2" t="str">
        <f>IFERROR(__xludf.DUMMYFUNCTION("IFERROR(INDEX(SPLIT(H26, "" ""), 1, 1), """")"),"RCB")</f>
        <v>RCB</v>
      </c>
      <c r="S26" s="1" t="str">
        <f t="shared" si="3"/>
        <v>different</v>
      </c>
    </row>
    <row r="27">
      <c r="A27" s="2">
        <v>41.0</v>
      </c>
      <c r="B27" s="4" t="s">
        <v>199</v>
      </c>
      <c r="C27" s="4" t="s">
        <v>19</v>
      </c>
      <c r="D27" s="4" t="s">
        <v>20</v>
      </c>
      <c r="E27" s="4" t="s">
        <v>200</v>
      </c>
      <c r="F27" s="4" t="s">
        <v>76</v>
      </c>
      <c r="G27" s="4" t="s">
        <v>201</v>
      </c>
      <c r="H27" s="4" t="s">
        <v>202</v>
      </c>
      <c r="I27" s="4" t="s">
        <v>203</v>
      </c>
      <c r="J27" s="2" t="str">
        <f>IFERROR(__xludf.DUMMYFUNCTION("IFERROR(""[""&amp;REGEXREPLACE(REGEXEXTRACT(I27, ""(\{'Over': '1'.*?'Over': '6', 'Runs': '\d+', 'Wickets': '\d+'\})""), "", 'Wickets': '\d+'"", """")&amp;""]"", """")"),"[{'Over': '1', 'Runs': '7'}, {'Over': '2', 'Runs': '20'}, {'Over': '3', 'Runs': '38'}, {'Over': '4', 'Runs': '59'}, {'Over': '5', 'Runs': '70'}, {'Over': '6', 'Runs': '76'}]")</f>
        <v>[{'Over': '1', 'Runs': '7'}, {'Over': '2', 'Runs': '20'}, {'Over': '3', 'Runs': '38'}, {'Over': '4', 'Runs': '59'}, {'Over': '5', 'Runs': '70'}, {'Over': '6', 'Runs': '76'}]</v>
      </c>
      <c r="K27" s="5">
        <v>76.0</v>
      </c>
      <c r="L27" s="4" t="s">
        <v>204</v>
      </c>
      <c r="M27" s="1" t="str">
        <f>IFERROR(__xludf.DUMMYFUNCTION("IFERROR(""[""&amp;REGEXREPLACE(REGEXEXTRACT(L27, ""(\{'Over': '1'.*?'Over': '6', 'Runs': '\d+', 'Wickets': '\d+'\})""), "", 'Wickets': '\d+'"", """")&amp;""]"", ""N/A or Invalid Data"")"),"[{'Over': '1', 'Runs': '8'}, {'Over': '2', 'Runs': '22'}, {'Over': '3', 'Runs': '45'}, {'Over': '4', 'Runs': '57'}, {'Over': '5', 'Runs': '69'}, {'Over': '6', 'Runs': '93'}]")</f>
        <v>[{'Over': '1', 'Runs': '8'}, {'Over': '2', 'Runs': '22'}, {'Over': '3', 'Runs': '45'}, {'Over': '4', 'Runs': '57'}, {'Over': '5', 'Runs': '69'}, {'Over': '6', 'Runs': '93'}]</v>
      </c>
      <c r="N27" s="5">
        <v>93.0</v>
      </c>
      <c r="O27" s="5" t="str">
        <f t="shared" si="1"/>
        <v>76&amp;93</v>
      </c>
      <c r="P27" s="5">
        <f t="shared" si="2"/>
        <v>-17</v>
      </c>
      <c r="Q27" s="2" t="s">
        <v>81</v>
      </c>
      <c r="R27" s="2" t="str">
        <f>IFERROR(__xludf.DUMMYFUNCTION("IFERROR(INDEX(SPLIT(H27, "" ""), 1, 1), """")"),"PBKS")</f>
        <v>PBKS</v>
      </c>
      <c r="S27" s="1" t="str">
        <f t="shared" si="3"/>
        <v>same</v>
      </c>
    </row>
    <row r="28">
      <c r="A28" s="2">
        <v>42.0</v>
      </c>
      <c r="B28" s="4" t="s">
        <v>205</v>
      </c>
      <c r="C28" s="4" t="s">
        <v>169</v>
      </c>
      <c r="D28" s="4" t="s">
        <v>58</v>
      </c>
      <c r="E28" s="4" t="s">
        <v>206</v>
      </c>
      <c r="F28" s="4" t="s">
        <v>51</v>
      </c>
      <c r="G28" s="4" t="s">
        <v>207</v>
      </c>
      <c r="H28" s="4" t="s">
        <v>208</v>
      </c>
      <c r="I28" s="4" t="s">
        <v>209</v>
      </c>
      <c r="J28" s="2" t="str">
        <f>IFERROR(__xludf.DUMMYFUNCTION("IFERROR(""[""&amp;REGEXREPLACE(REGEXEXTRACT(I28, ""(\{'Over': '1'.*?'Over': '6', 'Runs': '\d+', 'Wickets': '\d+'\})""), "", 'Wickets': '\d+'"", """")&amp;""]"", """")"),"[{'Over': '1', 'Runs': '19'}, {'Over': '2', 'Runs': '37'}, {'Over': '3', 'Runs': '55'}, {'Over': '4', 'Runs': '69'}, {'Over': '5', 'Runs': '89'}, {'Over': '6', 'Runs': '92'}]")</f>
        <v>[{'Over': '1', 'Runs': '19'}, {'Over': '2', 'Runs': '37'}, {'Over': '3', 'Runs': '55'}, {'Over': '4', 'Runs': '69'}, {'Over': '5', 'Runs': '89'}, {'Over': '6', 'Runs': '92'}]</v>
      </c>
      <c r="K28" s="5">
        <v>92.0</v>
      </c>
      <c r="L28" s="4" t="s">
        <v>210</v>
      </c>
      <c r="M28" s="1" t="str">
        <f>IFERROR(__xludf.DUMMYFUNCTION("IFERROR(""[""&amp;REGEXREPLACE(REGEXEXTRACT(L28, ""(\{'Over': '1'.*?'Over': '6', 'Runs': '\d+', 'Wickets': '\d+'\})""), "", 'Wickets': '\d+'"", """")&amp;""]"", ""N/A or Invalid Data"")"),"[{'Over': '1', 'Runs': '14'}, {'Over': '2', 'Runs': '29'}, {'Over': '3', 'Runs': '35'}, {'Over': '4', 'Runs': '45'}, {'Over': '5', 'Runs': '54'}, {'Over': '6', 'Runs': '65'}]")</f>
        <v>[{'Over': '1', 'Runs': '14'}, {'Over': '2', 'Runs': '29'}, {'Over': '3', 'Runs': '35'}, {'Over': '4', 'Runs': '45'}, {'Over': '5', 'Runs': '54'}, {'Over': '6', 'Runs': '65'}]</v>
      </c>
      <c r="N28" s="5">
        <v>65.0</v>
      </c>
      <c r="O28" s="5" t="str">
        <f t="shared" si="1"/>
        <v>92&amp;65</v>
      </c>
      <c r="P28" s="5">
        <f t="shared" si="2"/>
        <v>27</v>
      </c>
      <c r="Q28" s="2" t="s">
        <v>63</v>
      </c>
      <c r="R28" s="2" t="str">
        <f>IFERROR(__xludf.DUMMYFUNCTION("IFERROR(INDEX(SPLIT(H28, "" ""), 1, 1), """")"),"DC")</f>
        <v>DC</v>
      </c>
      <c r="S28" s="1" t="str">
        <f t="shared" si="3"/>
        <v>same</v>
      </c>
    </row>
    <row r="29">
      <c r="A29" s="2">
        <v>43.0</v>
      </c>
      <c r="B29" s="4" t="s">
        <v>211</v>
      </c>
      <c r="C29" s="4" t="s">
        <v>74</v>
      </c>
      <c r="D29" s="4" t="s">
        <v>32</v>
      </c>
      <c r="E29" s="4" t="s">
        <v>212</v>
      </c>
      <c r="F29" s="4" t="s">
        <v>30</v>
      </c>
      <c r="G29" s="4" t="s">
        <v>213</v>
      </c>
      <c r="H29" s="4" t="s">
        <v>214</v>
      </c>
      <c r="I29" s="4" t="s">
        <v>215</v>
      </c>
      <c r="J29" s="2" t="str">
        <f>IFERROR(__xludf.DUMMYFUNCTION("IFERROR(""[""&amp;REGEXREPLACE(REGEXEXTRACT(I29, ""(\{'Over': '1'.*?'Over': '6', 'Runs': '\d+', 'Wickets': '\d+'\})""), "", 'Wickets': '\d+'"", """")&amp;""]"", """")"),"[{'Over': '1', 'Runs': '8'}, {'Over': '2', 'Runs': '11'}, {'Over': '3', 'Runs': '20'}, {'Over': '4', 'Runs': '26'}, {'Over': '5', 'Runs': '36'}, {'Over': '6', 'Runs': '46'}]")</f>
        <v>[{'Over': '1', 'Runs': '8'}, {'Over': '2', 'Runs': '11'}, {'Over': '3', 'Runs': '20'}, {'Over': '4', 'Runs': '26'}, {'Over': '5', 'Runs': '36'}, {'Over': '6', 'Runs': '46'}]</v>
      </c>
      <c r="K29" s="5">
        <v>46.0</v>
      </c>
      <c r="L29" s="4" t="s">
        <v>216</v>
      </c>
      <c r="M29" s="1" t="str">
        <f>IFERROR(__xludf.DUMMYFUNCTION("IFERROR(""[""&amp;REGEXREPLACE(REGEXEXTRACT(L29, ""(\{'Over': '1'.*?'Over': '6', 'Runs': '\d+', 'Wickets': '\d+'\})""), "", 'Wickets': '\d+'"", """")&amp;""]"", ""N/A or Invalid Data"")"),"[{'Over': '1', 'Runs': '13'}, {'Over': '2', 'Runs': '20'}, {'Over': '3', 'Runs': '28'}, {'Over': '4', 'Runs': '37'}, {'Over': '5', 'Runs': '50'}, {'Over': '6', 'Runs': '60'}]")</f>
        <v>[{'Over': '1', 'Runs': '13'}, {'Over': '2', 'Runs': '20'}, {'Over': '3', 'Runs': '28'}, {'Over': '4', 'Runs': '37'}, {'Over': '5', 'Runs': '50'}, {'Over': '6', 'Runs': '60'}]</v>
      </c>
      <c r="N29" s="5">
        <v>60.0</v>
      </c>
      <c r="O29" s="5" t="str">
        <f t="shared" si="1"/>
        <v>46&amp;60</v>
      </c>
      <c r="P29" s="5">
        <f t="shared" si="2"/>
        <v>-14</v>
      </c>
      <c r="Q29" s="2" t="s">
        <v>37</v>
      </c>
      <c r="R29" s="2" t="str">
        <f>IFERROR(__xludf.DUMMYFUNCTION("IFERROR(INDEX(SPLIT(H29, "" ""), 1, 1), """")"),"RR")</f>
        <v>RR</v>
      </c>
      <c r="S29" s="1" t="str">
        <f t="shared" si="3"/>
        <v>same</v>
      </c>
    </row>
    <row r="30">
      <c r="A30" s="2">
        <v>44.0</v>
      </c>
      <c r="B30" s="4" t="s">
        <v>217</v>
      </c>
      <c r="C30" s="4" t="s">
        <v>103</v>
      </c>
      <c r="D30" s="4" t="s">
        <v>42</v>
      </c>
      <c r="E30" s="4" t="s">
        <v>218</v>
      </c>
      <c r="F30" s="4" t="s">
        <v>66</v>
      </c>
      <c r="G30" s="4" t="s">
        <v>219</v>
      </c>
      <c r="H30" s="4" t="s">
        <v>220</v>
      </c>
      <c r="I30" s="4" t="s">
        <v>221</v>
      </c>
      <c r="J30" s="2" t="str">
        <f>IFERROR(__xludf.DUMMYFUNCTION("IFERROR(""[""&amp;REGEXREPLACE(REGEXEXTRACT(I30, ""(\{'Over': '1'.*?'Over': '6', 'Runs': '\d+', 'Wickets': '\d+'\})""), "", 'Wickets': '\d+'"", """")&amp;""]"", """")"),"[{'Over': '1', 'Runs': '6'}, {'Over': '2', 'Runs': '13'}, {'Over': '3', 'Runs': '24'}, {'Over': '4', 'Runs': '28'}, {'Over': '5', 'Runs': '35'}, {'Over': '6', 'Runs': '42'}]")</f>
        <v>[{'Over': '1', 'Runs': '6'}, {'Over': '2', 'Runs': '13'}, {'Over': '3', 'Runs': '24'}, {'Over': '4', 'Runs': '28'}, {'Over': '5', 'Runs': '35'}, {'Over': '6', 'Runs': '42'}]</v>
      </c>
      <c r="K30" s="5">
        <v>42.0</v>
      </c>
      <c r="L30" s="4" t="s">
        <v>222</v>
      </c>
      <c r="M30" s="1" t="str">
        <f>IFERROR(__xludf.DUMMYFUNCTION("IFERROR(""[""&amp;REGEXREPLACE(REGEXEXTRACT(L30, ""(\{'Over': '1'.*?'Over': '6', 'Runs': '\d+', 'Wickets': '\d+'\})""), "", 'Wickets': '\d+'"", """")&amp;""]"", ""N/A or Invalid Data"")"),"[{'Over': '1', 'Runs': '5'}, {'Over': '2', 'Runs': '20'}, {'Over': '3', 'Runs': '37'}, {'Over': '4', 'Runs': '41'}, {'Over': '5', 'Runs': '48'}, {'Over': '6', 'Runs': '63'}]")</f>
        <v>[{'Over': '1', 'Runs': '5'}, {'Over': '2', 'Runs': '20'}, {'Over': '3', 'Runs': '37'}, {'Over': '4', 'Runs': '41'}, {'Over': '5', 'Runs': '48'}, {'Over': '6', 'Runs': '63'}]</v>
      </c>
      <c r="N30" s="5">
        <v>63.0</v>
      </c>
      <c r="O30" s="5" t="str">
        <f t="shared" si="1"/>
        <v>42&amp;63</v>
      </c>
      <c r="P30" s="5">
        <f t="shared" si="2"/>
        <v>-21</v>
      </c>
      <c r="Q30" s="2" t="s">
        <v>155</v>
      </c>
      <c r="R30" s="2" t="str">
        <f>IFERROR(__xludf.DUMMYFUNCTION("IFERROR(INDEX(SPLIT(H30, "" ""), 1, 1), """")"),"RCB")</f>
        <v>RCB</v>
      </c>
      <c r="S30" s="1" t="str">
        <f t="shared" si="3"/>
        <v>same</v>
      </c>
    </row>
    <row r="31">
      <c r="A31" s="2">
        <v>45.0</v>
      </c>
      <c r="B31" s="4" t="s">
        <v>223</v>
      </c>
      <c r="C31" s="4" t="s">
        <v>39</v>
      </c>
      <c r="D31" s="4" t="s">
        <v>40</v>
      </c>
      <c r="E31" s="4" t="s">
        <v>224</v>
      </c>
      <c r="F31" s="4" t="s">
        <v>22</v>
      </c>
      <c r="G31" s="4" t="s">
        <v>225</v>
      </c>
      <c r="H31" s="4" t="s">
        <v>226</v>
      </c>
      <c r="I31" s="4" t="s">
        <v>227</v>
      </c>
      <c r="J31" s="2" t="str">
        <f>IFERROR(__xludf.DUMMYFUNCTION("IFERROR(""[""&amp;REGEXREPLACE(REGEXEXTRACT(I31, ""(\{'Over': '1'.*?'Over': '6', 'Runs': '\d+', 'Wickets': '\d+'\})""), "", 'Wickets': '\d+'"", """")&amp;""]"", """")"),"[{'Over': '1', 'Runs': '4'}, {'Over': '2', 'Runs': '13'}, {'Over': '3', 'Runs': '19'}, {'Over': '4', 'Runs': '30'}, {'Over': '5', 'Runs': '45'}, {'Over': '6', 'Runs': '50'}]")</f>
        <v>[{'Over': '1', 'Runs': '4'}, {'Over': '2', 'Runs': '13'}, {'Over': '3', 'Runs': '19'}, {'Over': '4', 'Runs': '30'}, {'Over': '5', 'Runs': '45'}, {'Over': '6', 'Runs': '50'}]</v>
      </c>
      <c r="K31" s="5">
        <v>50.0</v>
      </c>
      <c r="L31" s="4" t="s">
        <v>228</v>
      </c>
      <c r="M31" s="1" t="str">
        <f>IFERROR(__xludf.DUMMYFUNCTION("IFERROR(""[""&amp;REGEXREPLACE(REGEXEXTRACT(L31, ""(\{'Over': '1'.*?'Over': '6', 'Runs': '\d+', 'Wickets': '\d+'\})""), "", 'Wickets': '\d+'"", """")&amp;""]"", ""N/A or Invalid Data"")"),"[{'Over': '1', 'Runs': '7'}, {'Over': '2', 'Runs': '21'}, {'Over': '3', 'Runs': '33'}, {'Over': '4', 'Runs': '42'}, {'Over': '5', 'Runs': '45'}, {'Over': '6', 'Runs': '53'}]")</f>
        <v>[{'Over': '1', 'Runs': '7'}, {'Over': '2', 'Runs': '21'}, {'Over': '3', 'Runs': '33'}, {'Over': '4', 'Runs': '42'}, {'Over': '5', 'Runs': '45'}, {'Over': '6', 'Runs': '53'}]</v>
      </c>
      <c r="N31" s="5">
        <v>53.0</v>
      </c>
      <c r="O31" s="5" t="str">
        <f t="shared" si="1"/>
        <v>50&amp;53</v>
      </c>
      <c r="P31" s="5">
        <f t="shared" si="2"/>
        <v>-3</v>
      </c>
      <c r="Q31" s="2" t="s">
        <v>27</v>
      </c>
      <c r="R31" s="2" t="str">
        <f>IFERROR(__xludf.DUMMYFUNCTION("IFERROR(INDEX(SPLIT(H31, "" ""), 1, 1), """")"),"CSK")</f>
        <v>CSK</v>
      </c>
      <c r="S31" s="1" t="str">
        <f t="shared" si="3"/>
        <v>different</v>
      </c>
    </row>
    <row r="32">
      <c r="A32" s="2">
        <v>49.0</v>
      </c>
      <c r="B32" s="4" t="s">
        <v>229</v>
      </c>
      <c r="C32" s="4" t="s">
        <v>49</v>
      </c>
      <c r="D32" s="4" t="s">
        <v>22</v>
      </c>
      <c r="E32" s="4" t="s">
        <v>230</v>
      </c>
      <c r="F32" s="4" t="s">
        <v>30</v>
      </c>
      <c r="G32" s="4" t="s">
        <v>231</v>
      </c>
      <c r="H32" s="4" t="s">
        <v>232</v>
      </c>
      <c r="I32" s="4" t="s">
        <v>233</v>
      </c>
      <c r="J32" s="2" t="str">
        <f>IFERROR(__xludf.DUMMYFUNCTION("IFERROR(""[""&amp;REGEXREPLACE(REGEXEXTRACT(I32, ""(\{'Over': '1'.*?'Over': '6', 'Runs': '\d+', 'Wickets': '\d+'\})""), "", 'Wickets': '\d+'"", """")&amp;""]"", """")"),"[{'Over': '1', 'Runs': '6'}, {'Over': '2', 'Runs': '14'}, {'Over': '3', 'Runs': '21'}, {'Over': '4', 'Runs': '25'}, {'Over': '5', 'Runs': '35'}, {'Over': '6', 'Runs': '37'}]")</f>
        <v>[{'Over': '1', 'Runs': '6'}, {'Over': '2', 'Runs': '14'}, {'Over': '3', 'Runs': '21'}, {'Over': '4', 'Runs': '25'}, {'Over': '5', 'Runs': '35'}, {'Over': '6', 'Runs': '37'}]</v>
      </c>
      <c r="K32" s="5">
        <v>37.0</v>
      </c>
      <c r="L32" s="4" t="s">
        <v>234</v>
      </c>
      <c r="M32" s="1" t="str">
        <f>IFERROR(__xludf.DUMMYFUNCTION("IFERROR(""[""&amp;REGEXREPLACE(REGEXEXTRACT(L32, ""(\{'Over': '1'.*?'Over': '6', 'Runs': '\d+', 'Wickets': '\d+'\})""), "", 'Wickets': '\d+'"", """")&amp;""]"", ""N/A or Invalid Data"")"),"[{'Over': '1', 'Runs': '1'}, {'Over': '2', 'Runs': '6'}, {'Over': '3', 'Runs': '21'}, {'Over': '4', 'Runs': '35'}, {'Over': '5', 'Runs': '50'}, {'Over': '6', 'Runs': '60'}]")</f>
        <v>[{'Over': '1', 'Runs': '1'}, {'Over': '2', 'Runs': '6'}, {'Over': '3', 'Runs': '21'}, {'Over': '4', 'Runs': '35'}, {'Over': '5', 'Runs': '50'}, {'Over': '6', 'Runs': '60'}]</v>
      </c>
      <c r="N32" s="5">
        <v>60.0</v>
      </c>
      <c r="O32" s="5" t="str">
        <f t="shared" si="1"/>
        <v>37&amp;60</v>
      </c>
      <c r="P32" s="5">
        <f t="shared" si="2"/>
        <v>-23</v>
      </c>
      <c r="Q32" s="2" t="s">
        <v>37</v>
      </c>
      <c r="R32" s="2" t="str">
        <f>IFERROR(__xludf.DUMMYFUNCTION("IFERROR(INDEX(SPLIT(H32, "" ""), 1, 1), """")"),"SRH")</f>
        <v>SRH</v>
      </c>
      <c r="S32" s="1" t="str">
        <f t="shared" si="3"/>
        <v>different</v>
      </c>
    </row>
    <row r="33">
      <c r="A33" s="2">
        <v>53.0</v>
      </c>
      <c r="B33" s="4" t="s">
        <v>235</v>
      </c>
      <c r="C33" s="4" t="s">
        <v>74</v>
      </c>
      <c r="D33" s="4" t="s">
        <v>20</v>
      </c>
      <c r="E33" s="4" t="s">
        <v>236</v>
      </c>
      <c r="F33" s="4" t="s">
        <v>32</v>
      </c>
      <c r="G33" s="4" t="s">
        <v>237</v>
      </c>
      <c r="H33" s="4" t="s">
        <v>238</v>
      </c>
      <c r="I33" s="4" t="s">
        <v>239</v>
      </c>
      <c r="J33" s="2" t="str">
        <f>IFERROR(__xludf.DUMMYFUNCTION("IFERROR(""[""&amp;REGEXREPLACE(REGEXEXTRACT(I33, ""(\{'Over': '1'.*?'Over': '6', 'Runs': '\d+', 'Wickets': '\d+'\})""), "", 'Wickets': '\d+'"", """")&amp;""]"", """")"),"[{'Over': '1', 'Runs': '10'}, {'Over': '2', 'Runs': '18'}, {'Over': '3', 'Runs': '37'}, {'Over': '4', 'Runs': '57'}, {'Over': '5', 'Runs': '68'}, {'Over': '6', 'Runs': '70'}]")</f>
        <v>[{'Over': '1', 'Runs': '10'}, {'Over': '2', 'Runs': '18'}, {'Over': '3', 'Runs': '37'}, {'Over': '4', 'Runs': '57'}, {'Over': '5', 'Runs': '68'}, {'Over': '6', 'Runs': '70'}]</v>
      </c>
      <c r="K33" s="5">
        <v>70.0</v>
      </c>
      <c r="L33" s="4" t="s">
        <v>240</v>
      </c>
      <c r="M33" s="1" t="str">
        <f>IFERROR(__xludf.DUMMYFUNCTION("IFERROR(""[""&amp;REGEXREPLACE(REGEXEXTRACT(L33, ""(\{'Over': '1'.*?'Over': '6', 'Runs': '\d+', 'Wickets': '\d+'\})""), "", 'Wickets': '\d+'"", """")&amp;""]"", ""N/A or Invalid Data"")"),"[{'Over': '1', 'Runs': '11'}, {'Over': '2', 'Runs': '20'}, {'Over': '3', 'Runs': '30'}, {'Over': '4', 'Runs': '43'}, {'Over': '5', 'Runs': '47'}, {'Over': '6', 'Runs': '55'}]")</f>
        <v>[{'Over': '1', 'Runs': '11'}, {'Over': '2', 'Runs': '20'}, {'Over': '3', 'Runs': '30'}, {'Over': '4', 'Runs': '43'}, {'Over': '5', 'Runs': '47'}, {'Over': '6', 'Runs': '55'}]</v>
      </c>
      <c r="N33" s="5">
        <v>55.0</v>
      </c>
      <c r="O33" s="5" t="str">
        <f t="shared" si="1"/>
        <v>70&amp;55</v>
      </c>
      <c r="P33" s="5">
        <f t="shared" si="2"/>
        <v>15</v>
      </c>
      <c r="Q33" s="2" t="s">
        <v>72</v>
      </c>
      <c r="R33" s="2" t="str">
        <f>IFERROR(__xludf.DUMMYFUNCTION("IFERROR(INDEX(SPLIT(H33, "" ""), 1, 1), """")"),"KKR")</f>
        <v>KKR</v>
      </c>
      <c r="S33" s="1" t="str">
        <f t="shared" si="3"/>
        <v>same</v>
      </c>
    </row>
    <row r="34">
      <c r="A34" s="2">
        <v>55.0</v>
      </c>
      <c r="B34" s="4" t="s">
        <v>241</v>
      </c>
      <c r="C34" s="4" t="s">
        <v>169</v>
      </c>
      <c r="D34" s="4" t="s">
        <v>58</v>
      </c>
      <c r="E34" s="4" t="s">
        <v>242</v>
      </c>
      <c r="F34" s="4" t="s">
        <v>30</v>
      </c>
      <c r="G34" s="4" t="s">
        <v>243</v>
      </c>
      <c r="H34" s="4" t="s">
        <v>86</v>
      </c>
      <c r="I34" s="4" t="s">
        <v>244</v>
      </c>
      <c r="J34" s="2" t="str">
        <f>IFERROR(__xludf.DUMMYFUNCTION("IFERROR(""[""&amp;REGEXREPLACE(REGEXEXTRACT(I34, ""(\{'Over': '1'.*?'Over': '6', 'Runs': '\d+', 'Wickets': '\d+'\})""), "", 'Wickets': '\d+'"", """")&amp;""]"", """")"),"[{'Over': '1', 'Runs': '6'}, {'Over': '2', 'Runs': '16'}, {'Over': '3', 'Runs': '31'}, {'Over': '4', 'Runs': '59'}, {'Over': '5', 'Runs': '68'}, {'Over': '6', 'Runs': '78'}]")</f>
        <v>[{'Over': '1', 'Runs': '6'}, {'Over': '2', 'Runs': '16'}, {'Over': '3', 'Runs': '31'}, {'Over': '4', 'Runs': '59'}, {'Over': '5', 'Runs': '68'}, {'Over': '6', 'Runs': '78'}]</v>
      </c>
      <c r="K34" s="5">
        <v>78.0</v>
      </c>
      <c r="L34" s="4" t="s">
        <v>245</v>
      </c>
      <c r="M34" s="1" t="str">
        <f>IFERROR(__xludf.DUMMYFUNCTION("IFERROR(""[""&amp;REGEXREPLACE(REGEXEXTRACT(L34, ""(\{'Over': '1'.*?'Over': '6', 'Runs': '\d+', 'Wickets': '\d+'\})""), "", 'Wickets': '\d+'"", """")&amp;""]"", ""N/A or Invalid Data"")"),"[{'Over': '1', 'Runs': '7'}, {'Over': '2', 'Runs': '9'}, {'Over': '3', 'Runs': '27'}, {'Over': '4', 'Runs': '42'}, {'Over': '5', 'Runs': '57'}, {'Over': '6', 'Runs': '67'}]")</f>
        <v>[{'Over': '1', 'Runs': '7'}, {'Over': '2', 'Runs': '9'}, {'Over': '3', 'Runs': '27'}, {'Over': '4', 'Runs': '42'}, {'Over': '5', 'Runs': '57'}, {'Over': '6', 'Runs': '67'}]</v>
      </c>
      <c r="N34" s="5">
        <v>67.0</v>
      </c>
      <c r="O34" s="5" t="str">
        <f t="shared" si="1"/>
        <v>78&amp;67</v>
      </c>
      <c r="P34" s="5">
        <f t="shared" si="2"/>
        <v>11</v>
      </c>
      <c r="Q34" s="2" t="s">
        <v>63</v>
      </c>
      <c r="R34" s="2" t="str">
        <f>IFERROR(__xludf.DUMMYFUNCTION("IFERROR(INDEX(SPLIT(H34, "" ""), 1, 1), """")"),"DC")</f>
        <v>DC</v>
      </c>
      <c r="S34" s="1" t="str">
        <f t="shared" si="3"/>
        <v>same</v>
      </c>
    </row>
    <row r="35">
      <c r="A35" s="2">
        <v>57.0</v>
      </c>
      <c r="B35" s="4" t="s">
        <v>246</v>
      </c>
      <c r="C35" s="4" t="s">
        <v>247</v>
      </c>
      <c r="D35" s="4" t="s">
        <v>66</v>
      </c>
      <c r="E35" s="4" t="s">
        <v>248</v>
      </c>
      <c r="F35" s="4" t="s">
        <v>76</v>
      </c>
      <c r="G35" s="4" t="s">
        <v>249</v>
      </c>
      <c r="H35" s="4" t="s">
        <v>250</v>
      </c>
      <c r="I35" s="4" t="s">
        <v>251</v>
      </c>
      <c r="J35" s="2" t="str">
        <f>IFERROR(__xludf.DUMMYFUNCTION("IFERROR(""[""&amp;REGEXREPLACE(REGEXEXTRACT(I35, ""(\{'Over': '1'.*?'Over': '6', 'Runs': '\d+', 'Wickets': '\d+'\})""), "", 'Wickets': '\d+'"", """")&amp;""]"", """")"),"[{'Over': '1', 'Runs': '11'}, {'Over': '2', 'Runs': '19'}, {'Over': '3', 'Runs': '20'}, {'Over': '4', 'Runs': '36'}, {'Over': '5', 'Runs': '44'}, {'Over': '6', 'Runs': '56'}]")</f>
        <v>[{'Over': '1', 'Runs': '11'}, {'Over': '2', 'Runs': '19'}, {'Over': '3', 'Runs': '20'}, {'Over': '4', 'Runs': '36'}, {'Over': '5', 'Runs': '44'}, {'Over': '6', 'Runs': '56'}]</v>
      </c>
      <c r="K35" s="5">
        <v>56.0</v>
      </c>
      <c r="L35" s="4" t="s">
        <v>252</v>
      </c>
      <c r="M35" s="1" t="str">
        <f>IFERROR(__xludf.DUMMYFUNCTION("IFERROR(""[""&amp;REGEXREPLACE(REGEXEXTRACT(L35, ""(\{'Over': '1'.*?'Over': '6', 'Runs': '\d+', 'Wickets': '\d+'\})""), "", 'Wickets': '\d+'"", """")&amp;""]"", ""N/A or Invalid Data"")"),"[{'Over': '1', 'Runs': '14'}, {'Over': '2', 'Runs': '21'}, {'Over': '3', 'Runs': '27'}, {'Over': '4', 'Runs': '45'}, {'Over': '5', 'Runs': '61'}, {'Over': '6', 'Runs': '75'}]")</f>
        <v>[{'Over': '1', 'Runs': '14'}, {'Over': '2', 'Runs': '21'}, {'Over': '3', 'Runs': '27'}, {'Over': '4', 'Runs': '45'}, {'Over': '5', 'Runs': '61'}, {'Over': '6', 'Runs': '75'}]</v>
      </c>
      <c r="N35" s="5">
        <v>75.0</v>
      </c>
      <c r="O35" s="5" t="str">
        <f t="shared" si="1"/>
        <v>56&amp;75</v>
      </c>
      <c r="P35" s="5">
        <f t="shared" si="2"/>
        <v>-19</v>
      </c>
      <c r="Q35" s="2" t="s">
        <v>81</v>
      </c>
      <c r="R35" s="2" t="str">
        <f>IFERROR(__xludf.DUMMYFUNCTION("IFERROR(INDEX(SPLIT(H35, "" ""), 1, 1), """")"),"RCB")</f>
        <v>RCB</v>
      </c>
      <c r="S35" s="1" t="str">
        <f t="shared" si="3"/>
        <v>different</v>
      </c>
    </row>
    <row r="36">
      <c r="A36" s="2">
        <v>58.0</v>
      </c>
      <c r="B36" s="4" t="s">
        <v>253</v>
      </c>
      <c r="C36" s="4" t="s">
        <v>103</v>
      </c>
      <c r="D36" s="4" t="s">
        <v>42</v>
      </c>
      <c r="E36" s="4" t="s">
        <v>254</v>
      </c>
      <c r="F36" s="4" t="s">
        <v>40</v>
      </c>
      <c r="G36" s="4" t="s">
        <v>255</v>
      </c>
      <c r="H36" s="4" t="s">
        <v>256</v>
      </c>
      <c r="I36" s="4" t="s">
        <v>257</v>
      </c>
      <c r="J36" s="2" t="str">
        <f>IFERROR(__xludf.DUMMYFUNCTION("IFERROR(""[""&amp;REGEXREPLACE(REGEXEXTRACT(I36, ""(\{'Over': '1'.*?'Over': '6', 'Runs': '\d+', 'Wickets': '\d+'\})""), "", 'Wickets': '\d+'"", """")&amp;""]"", """")"),"[{'Over': '1', 'Runs': '14'}, {'Over': '2', 'Runs': '21'}, {'Over': '3', 'Runs': '32'}, {'Over': '4', 'Runs': '43'}, {'Over': '5', 'Runs': '46'}, {'Over': '6', 'Runs': '58'}]")</f>
        <v>[{'Over': '1', 'Runs': '14'}, {'Over': '2', 'Runs': '21'}, {'Over': '3', 'Runs': '32'}, {'Over': '4', 'Runs': '43'}, {'Over': '5', 'Runs': '46'}, {'Over': '6', 'Runs': '58'}]</v>
      </c>
      <c r="K36" s="5">
        <v>58.0</v>
      </c>
      <c r="L36" s="4" t="s">
        <v>258</v>
      </c>
      <c r="M36" s="1" t="str">
        <f>IFERROR(__xludf.DUMMYFUNCTION("IFERROR(""[""&amp;REGEXREPLACE(REGEXEXTRACT(L36, ""(\{'Over': '1'.*?'Over': '6', 'Runs': '\d+', 'Wickets': '\d+'\})""), "", 'Wickets': '\d+'"", """")&amp;""]"", ""N/A or Invalid Data"")"),"[{'Over': '1', 'Runs': '2'}, {'Over': '2', 'Runs': '3'}, {'Over': '3', 'Runs': '10'}, {'Over': '4', 'Runs': '22'}, {'Over': '5', 'Runs': '33'}, {'Over': '6', 'Runs': '43'}]")</f>
        <v>[{'Over': '1', 'Runs': '2'}, {'Over': '2', 'Runs': '3'}, {'Over': '3', 'Runs': '10'}, {'Over': '4', 'Runs': '22'}, {'Over': '5', 'Runs': '33'}, {'Over': '6', 'Runs': '43'}]</v>
      </c>
      <c r="N36" s="5">
        <v>43.0</v>
      </c>
      <c r="O36" s="5" t="str">
        <f t="shared" si="1"/>
        <v>58&amp;43</v>
      </c>
      <c r="P36" s="5">
        <f t="shared" si="2"/>
        <v>15</v>
      </c>
      <c r="Q36" s="2" t="s">
        <v>136</v>
      </c>
      <c r="R36" s="2" t="str">
        <f>IFERROR(__xludf.DUMMYFUNCTION("IFERROR(INDEX(SPLIT(H36, "" ""), 1, 1), """")"),"GT")</f>
        <v>GT</v>
      </c>
      <c r="S36" s="1" t="str">
        <f t="shared" si="3"/>
        <v>same</v>
      </c>
    </row>
    <row r="37">
      <c r="A37" s="2">
        <v>61.0</v>
      </c>
      <c r="B37" s="4" t="s">
        <v>259</v>
      </c>
      <c r="C37" s="4" t="s">
        <v>65</v>
      </c>
      <c r="D37" s="4" t="s">
        <v>66</v>
      </c>
      <c r="E37" s="4" t="s">
        <v>260</v>
      </c>
      <c r="F37" s="4" t="s">
        <v>58</v>
      </c>
      <c r="G37" s="4" t="s">
        <v>261</v>
      </c>
      <c r="H37" s="4" t="s">
        <v>262</v>
      </c>
      <c r="I37" s="4" t="s">
        <v>263</v>
      </c>
      <c r="J37" s="2" t="str">
        <f>IFERROR(__xludf.DUMMYFUNCTION("IFERROR(""[""&amp;REGEXREPLACE(REGEXEXTRACT(I37, ""(\{'Over': '1'.*?'Over': '6', 'Runs': '\d+', 'Wickets': '\d+'\})""), "", 'Wickets': '\d+'"", """")&amp;""]"", """")"),"[{'Over': '1', 'Runs': '10'}, {'Over': '2', 'Runs': '23'}, {'Over': '3', 'Runs': '25'}, {'Over': '4', 'Runs': '37'}, {'Over': '5', 'Runs': '51'}, {'Over': '6', 'Runs': '61'}]")</f>
        <v>[{'Over': '1', 'Runs': '10'}, {'Over': '2', 'Runs': '23'}, {'Over': '3', 'Runs': '25'}, {'Over': '4', 'Runs': '37'}, {'Over': '5', 'Runs': '51'}, {'Over': '6', 'Runs': '61'}]</v>
      </c>
      <c r="K37" s="5">
        <v>61.0</v>
      </c>
      <c r="L37" s="4" t="s">
        <v>264</v>
      </c>
      <c r="M37" s="1" t="str">
        <f>IFERROR(__xludf.DUMMYFUNCTION("IFERROR(""[""&amp;REGEXREPLACE(REGEXEXTRACT(L37, ""(\{'Over': '1'.*?'Over': '6', 'Runs': '\d+', 'Wickets': '\d+'\})""), "", 'Wickets': '\d+'"", """")&amp;""]"", ""N/A or Invalid Data"")"),"[{'Over': '1', 'Runs': '9'}, {'Over': '2', 'Runs': '24'}, {'Over': '3', 'Runs': '28'}, {'Over': '4', 'Runs': '30'}, {'Over': '5', 'Runs': '43'}, {'Over': '6', 'Runs': '54'}]")</f>
        <v>[{'Over': '1', 'Runs': '9'}, {'Over': '2', 'Runs': '24'}, {'Over': '3', 'Runs': '28'}, {'Over': '4', 'Runs': '30'}, {'Over': '5', 'Runs': '43'}, {'Over': '6', 'Runs': '54'}]</v>
      </c>
      <c r="N37" s="5">
        <v>54.0</v>
      </c>
      <c r="O37" s="5" t="str">
        <f t="shared" si="1"/>
        <v>61&amp;54</v>
      </c>
      <c r="P37" s="5">
        <f t="shared" si="2"/>
        <v>7</v>
      </c>
      <c r="Q37" s="2" t="s">
        <v>155</v>
      </c>
      <c r="R37" s="2" t="str">
        <f>IFERROR(__xludf.DUMMYFUNCTION("IFERROR(INDEX(SPLIT(H37, "" ""), 1, 1), """")"),"RCB")</f>
        <v>RCB</v>
      </c>
      <c r="S37" s="1" t="str">
        <f t="shared" si="3"/>
        <v>same</v>
      </c>
    </row>
    <row r="38">
      <c r="A38" s="2">
        <v>63.0</v>
      </c>
      <c r="B38" s="4" t="s">
        <v>265</v>
      </c>
      <c r="C38" s="4" t="s">
        <v>169</v>
      </c>
      <c r="D38" s="4" t="s">
        <v>58</v>
      </c>
      <c r="E38" s="4" t="s">
        <v>266</v>
      </c>
      <c r="F38" s="4" t="s">
        <v>32</v>
      </c>
      <c r="G38" s="4" t="s">
        <v>267</v>
      </c>
      <c r="H38" s="4" t="s">
        <v>268</v>
      </c>
      <c r="I38" s="4" t="s">
        <v>269</v>
      </c>
      <c r="J38" s="2" t="str">
        <f>IFERROR(__xludf.DUMMYFUNCTION("IFERROR(""[""&amp;REGEXREPLACE(REGEXEXTRACT(I38, ""(\{'Over': '1'.*?'Over': '6', 'Runs': '\d+', 'Wickets': '\d+'\})""), "", 'Wickets': '\d+'"", """")&amp;""]"", """")"),"[{'Over': '1', 'Runs': '6'}, {'Over': '2', 'Runs': '14'}, {'Over': '3', 'Runs': '35'}, {'Over': '4', 'Runs': '51'}, {'Over': '5', 'Runs': '56'}, {'Over': '6', 'Runs': '73'}]")</f>
        <v>[{'Over': '1', 'Runs': '6'}, {'Over': '2', 'Runs': '14'}, {'Over': '3', 'Runs': '35'}, {'Over': '4', 'Runs': '51'}, {'Over': '5', 'Runs': '56'}, {'Over': '6', 'Runs': '73'}]</v>
      </c>
      <c r="K38" s="5">
        <v>73.0</v>
      </c>
      <c r="L38" s="4" t="s">
        <v>270</v>
      </c>
      <c r="M38" s="1" t="str">
        <f>IFERROR(__xludf.DUMMYFUNCTION("IFERROR(""[""&amp;REGEXREPLACE(REGEXEXTRACT(L38, ""(\{'Over': '1'.*?'Over': '6', 'Runs': '\d+', 'Wickets': '\d+'\})""), "", 'Wickets': '\d+'"", """")&amp;""]"", ""N/A or Invalid Data"")"),"[{'Over': '1', 'Runs': '7'}, {'Over': '2', 'Runs': '12'}, {'Over': '3', 'Runs': '24'}, {'Over': '4', 'Runs': '44'}, {'Over': '5', 'Runs': '48'}, {'Over': '6', 'Runs': '59'}]")</f>
        <v>[{'Over': '1', 'Runs': '7'}, {'Over': '2', 'Runs': '12'}, {'Over': '3', 'Runs': '24'}, {'Over': '4', 'Runs': '44'}, {'Over': '5', 'Runs': '48'}, {'Over': '6', 'Runs': '59'}]</v>
      </c>
      <c r="N38" s="5">
        <v>59.0</v>
      </c>
      <c r="O38" s="5" t="str">
        <f t="shared" si="1"/>
        <v>73&amp;59</v>
      </c>
      <c r="P38" s="5">
        <f t="shared" si="2"/>
        <v>14</v>
      </c>
      <c r="Q38" s="2" t="s">
        <v>63</v>
      </c>
      <c r="R38" s="2" t="str">
        <f>IFERROR(__xludf.DUMMYFUNCTION("IFERROR(INDEX(SPLIT(H38, "" ""), 1, 1), """")"),"DC")</f>
        <v>DC</v>
      </c>
      <c r="S38" s="1" t="str">
        <f t="shared" si="3"/>
        <v>same</v>
      </c>
    </row>
    <row r="39">
      <c r="A39" s="2">
        <v>66.0</v>
      </c>
      <c r="B39" s="4" t="s">
        <v>271</v>
      </c>
      <c r="C39" s="4" t="s">
        <v>116</v>
      </c>
      <c r="D39" s="4" t="s">
        <v>32</v>
      </c>
      <c r="E39" s="4" t="s">
        <v>272</v>
      </c>
      <c r="F39" s="4" t="s">
        <v>51</v>
      </c>
      <c r="G39" s="4" t="s">
        <v>273</v>
      </c>
      <c r="H39" s="4" t="s">
        <v>274</v>
      </c>
      <c r="I39" s="4" t="s">
        <v>275</v>
      </c>
      <c r="J39" s="2" t="str">
        <f>IFERROR(__xludf.DUMMYFUNCTION("IFERROR(""[""&amp;REGEXREPLACE(REGEXEXTRACT(I39, ""(\{'Over': '1'.*?'Over': '6', 'Runs': '\d+', 'Wickets': '\d+'\})""), "", 'Wickets': '\d+'"", """")&amp;""]"", """")"),"[{'Over': '1', 'Runs': '4'}, {'Over': '2', 'Runs': '7'}, {'Over': '3', 'Runs': '14'}, {'Over': '4', 'Runs': '28'}, {'Over': '5', 'Runs': '35'}, {'Over': '6', 'Runs': '49'}]")</f>
        <v>[{'Over': '1', 'Runs': '4'}, {'Over': '2', 'Runs': '7'}, {'Over': '3', 'Runs': '14'}, {'Over': '4', 'Runs': '28'}, {'Over': '5', 'Runs': '35'}, {'Over': '6', 'Runs': '49'}]</v>
      </c>
      <c r="K39" s="5">
        <v>49.0</v>
      </c>
      <c r="L39" s="4" t="s">
        <v>276</v>
      </c>
      <c r="M39" s="1" t="str">
        <f>IFERROR(__xludf.DUMMYFUNCTION("IFERROR(""[""&amp;REGEXREPLACE(REGEXEXTRACT(L39, ""(\{'Over': '1'.*?'Over': '6', 'Runs': '\d+', 'Wickets': '\d+'\})""), "", 'Wickets': '\d+'"", """")&amp;""]"", ""N/A or Invalid Data"")"),"[{'Over': '1', 'Runs': '8'}, {'Over': '2', 'Runs': '22'}, {'Over': '3', 'Runs': '25'}, {'Over': '4', 'Runs': '33'}, {'Over': '5', 'Runs': '42'}, {'Over': '6', 'Runs': '53'}]")</f>
        <v>[{'Over': '1', 'Runs': '8'}, {'Over': '2', 'Runs': '22'}, {'Over': '3', 'Runs': '25'}, {'Over': '4', 'Runs': '33'}, {'Over': '5', 'Runs': '42'}, {'Over': '6', 'Runs': '53'}]</v>
      </c>
      <c r="N39" s="5">
        <v>53.0</v>
      </c>
      <c r="O39" s="5" t="str">
        <f t="shared" si="1"/>
        <v>49&amp;53</v>
      </c>
      <c r="P39" s="5">
        <f t="shared" si="2"/>
        <v>-4</v>
      </c>
      <c r="Q39" s="2" t="s">
        <v>122</v>
      </c>
      <c r="R39" s="2" t="str">
        <f>IFERROR(__xludf.DUMMYFUNCTION("IFERROR(INDEX(SPLIT(H39, "" ""), 1, 1), """")"),"LSG")</f>
        <v>LSG</v>
      </c>
      <c r="S39" s="1" t="str">
        <f t="shared" si="3"/>
        <v>different</v>
      </c>
    </row>
    <row r="40">
      <c r="A40" s="2">
        <v>67.0</v>
      </c>
      <c r="B40" s="4" t="s">
        <v>277</v>
      </c>
      <c r="C40" s="4" t="s">
        <v>65</v>
      </c>
      <c r="D40" s="4" t="s">
        <v>66</v>
      </c>
      <c r="E40" s="4" t="s">
        <v>278</v>
      </c>
      <c r="F40" s="4" t="s">
        <v>40</v>
      </c>
      <c r="G40" s="4" t="s">
        <v>279</v>
      </c>
      <c r="H40" s="4" t="s">
        <v>280</v>
      </c>
      <c r="I40" s="4" t="s">
        <v>281</v>
      </c>
      <c r="J40" s="2" t="str">
        <f>IFERROR(__xludf.DUMMYFUNCTION("IFERROR(""[""&amp;REGEXREPLACE(REGEXEXTRACT(I40, ""(\{'Over': '1'.*?'Over': '6', 'Runs': '\d+', 'Wickets': '\d+'\})""), "", 'Wickets': '\d+'"", """")&amp;""]"", """")"),"[{'Over': '1', 'Runs': '2'}, {'Over': '2', 'Runs': '18'}, {'Over': '3', 'Runs': '31'}, {'Over': '4', 'Runs': '35'}, {'Over': '5', 'Runs': '37'}, {'Over': '6', 'Runs': '42'}]")</f>
        <v>[{'Over': '1', 'Runs': '2'}, {'Over': '2', 'Runs': '18'}, {'Over': '3', 'Runs': '31'}, {'Over': '4', 'Runs': '35'}, {'Over': '5', 'Runs': '37'}, {'Over': '6', 'Runs': '42'}]</v>
      </c>
      <c r="K40" s="5">
        <v>42.0</v>
      </c>
      <c r="L40" s="4" t="s">
        <v>282</v>
      </c>
      <c r="M40" s="1" t="str">
        <f>IFERROR(__xludf.DUMMYFUNCTION("IFERROR(""[""&amp;REGEXREPLACE(REGEXEXTRACT(L40, ""(\{'Over': '1'.*?'Over': '6', 'Runs': '\d+', 'Wickets': '\d+'\})""), "", 'Wickets': '\d+'"", """")&amp;""]"", ""N/A or Invalid Data"")"),"[{'Over': '1', 'Runs': '12'}, {'Over': '2', 'Runs': '19'}, {'Over': '3', 'Runs': '26'}, {'Over': '4', 'Runs': '39'}, {'Over': '5', 'Runs': '43'}, {'Over': '6', 'Runs': '58'}]")</f>
        <v>[{'Over': '1', 'Runs': '12'}, {'Over': '2', 'Runs': '19'}, {'Over': '3', 'Runs': '26'}, {'Over': '4', 'Runs': '39'}, {'Over': '5', 'Runs': '43'}, {'Over': '6', 'Runs': '58'}]</v>
      </c>
      <c r="N40" s="5">
        <v>58.0</v>
      </c>
      <c r="O40" s="5" t="str">
        <f t="shared" si="1"/>
        <v>42&amp;58</v>
      </c>
      <c r="P40" s="5">
        <f t="shared" si="2"/>
        <v>-16</v>
      </c>
      <c r="Q40" s="2" t="s">
        <v>47</v>
      </c>
      <c r="R40" s="2" t="str">
        <f>IFERROR(__xludf.DUMMYFUNCTION("IFERROR(INDEX(SPLIT(H40, "" ""), 1, 1), """")"),"RCB")</f>
        <v>RCB</v>
      </c>
      <c r="S40" s="1" t="str">
        <f t="shared" si="3"/>
        <v>different</v>
      </c>
    </row>
    <row r="41">
      <c r="A41" s="2">
        <v>68.0</v>
      </c>
      <c r="B41" s="4" t="s">
        <v>283</v>
      </c>
      <c r="C41" s="4" t="s">
        <v>49</v>
      </c>
      <c r="D41" s="4" t="s">
        <v>76</v>
      </c>
      <c r="E41" s="4" t="s">
        <v>284</v>
      </c>
      <c r="F41" s="4" t="s">
        <v>22</v>
      </c>
      <c r="G41" s="4" t="s">
        <v>285</v>
      </c>
      <c r="H41" s="4" t="s">
        <v>286</v>
      </c>
      <c r="I41" s="4" t="s">
        <v>287</v>
      </c>
      <c r="J41" s="2" t="str">
        <f>IFERROR(__xludf.DUMMYFUNCTION("IFERROR(""[""&amp;REGEXREPLACE(REGEXEXTRACT(I41, ""(\{'Over': '1'.*?'Over': '6', 'Runs': '\d+', 'Wickets': '\d+'\})""), "", 'Wickets': '\d+'"", """")&amp;""]"", """")"),"[{'Over': '1', 'Runs': '5'}, {'Over': '2', 'Runs': '12'}, {'Over': '3', 'Runs': '24'}, {'Over': '4', 'Runs': '35'}, {'Over': '5', 'Runs': '47'}, {'Over': '6', 'Runs': '61'}]")</f>
        <v>[{'Over': '1', 'Runs': '5'}, {'Over': '2', 'Runs': '12'}, {'Over': '3', 'Runs': '24'}, {'Over': '4', 'Runs': '35'}, {'Over': '5', 'Runs': '47'}, {'Over': '6', 'Runs': '61'}]</v>
      </c>
      <c r="K41" s="5">
        <v>61.0</v>
      </c>
      <c r="L41" s="4" t="s">
        <v>288</v>
      </c>
      <c r="M41" s="1" t="str">
        <f>IFERROR(__xludf.DUMMYFUNCTION("IFERROR(""[""&amp;REGEXREPLACE(REGEXEXTRACT(L41, ""(\{'Over': '1'.*?'Over': '6', 'Runs': '\d+', 'Wickets': '\d+'\})""), "", 'Wickets': '\d+'"", """")&amp;""]"", ""N/A or Invalid Data"")"),"[{'Over': '1', 'Runs': '9'}, {'Over': '2', 'Runs': '25'}, {'Over': '3', 'Runs': '39'}, {'Over': '4', 'Runs': '50'}, {'Over': '5', 'Runs': '72'}, {'Over': '6', 'Runs': '84'}]")</f>
        <v>[{'Over': '1', 'Runs': '9'}, {'Over': '2', 'Runs': '25'}, {'Over': '3', 'Runs': '39'}, {'Over': '4', 'Runs': '50'}, {'Over': '5', 'Runs': '72'}, {'Over': '6', 'Runs': '84'}]</v>
      </c>
      <c r="N41" s="5">
        <v>84.0</v>
      </c>
      <c r="O41" s="5" t="str">
        <f t="shared" si="1"/>
        <v>61&amp;84</v>
      </c>
      <c r="P41" s="5">
        <f t="shared" si="2"/>
        <v>-23</v>
      </c>
      <c r="Q41" s="2" t="s">
        <v>27</v>
      </c>
      <c r="R41" s="2" t="str">
        <f>IFERROR(__xludf.DUMMYFUNCTION("IFERROR(INDEX(SPLIT(H41, "" ""), 1, 1), """")"),"SRH")</f>
        <v>SRH</v>
      </c>
      <c r="S41" s="1" t="str">
        <f t="shared" si="3"/>
        <v>same</v>
      </c>
    </row>
    <row r="42">
      <c r="A42" s="2">
        <v>70.0</v>
      </c>
      <c r="B42" s="4" t="s">
        <v>289</v>
      </c>
      <c r="C42" s="4" t="s">
        <v>103</v>
      </c>
      <c r="D42" s="4" t="s">
        <v>22</v>
      </c>
      <c r="E42" s="4">
        <v>159.0</v>
      </c>
      <c r="F42" s="4" t="s">
        <v>20</v>
      </c>
      <c r="G42" s="4" t="s">
        <v>290</v>
      </c>
      <c r="H42" s="4" t="s">
        <v>291</v>
      </c>
      <c r="I42" s="4" t="s">
        <v>292</v>
      </c>
      <c r="J42" s="1" t="str">
        <f>IFERROR(__xludf.DUMMYFUNCTION("IFERROR(""[""&amp;REGEXREPLACE(REGEXEXTRACT(I42, ""(\{'Over': '1'.*?'Over': '6', 'Runs': '\d+', 'Wickets': '\d+'\})""), "", 'Wickets': '\d+'"", """")&amp;""]"", """")"),"[{'Over': '1', 'Runs': '8'}, {'Over': '2', 'Runs': '13'}, {'Over': '3', 'Runs': '21'}, {'Over': '4', 'Runs': '33'}, {'Over': '5', 'Runs': '39'}, {'Over': '6', 'Runs': '45'}]")</f>
        <v>[{'Over': '1', 'Runs': '8'}, {'Over': '2', 'Runs': '13'}, {'Over': '3', 'Runs': '21'}, {'Over': '4', 'Runs': '33'}, {'Over': '5', 'Runs': '39'}, {'Over': '6', 'Runs': '45'}]</v>
      </c>
      <c r="K42" s="5">
        <v>45.0</v>
      </c>
      <c r="L42" s="4" t="s">
        <v>293</v>
      </c>
      <c r="M42" s="1" t="str">
        <f>IFERROR(__xludf.DUMMYFUNCTION("IFERROR(""[""&amp;REGEXREPLACE(REGEXEXTRACT(L42, ""(\{'Over': '1'.*?'Over': '6', 'Runs': '\d+', 'Wickets': '\d+'\})""), "", 'Wickets': '\d+'"", """")&amp;""]"", ""N/A or Invalid Data"")"),"[{'Over': '1', 'Runs': '6'}, {'Over': '2', 'Runs': '26'}, {'Over': '3', 'Runs': '44'}, {'Over': '4', 'Runs': '49'}, {'Over': '5', 'Runs': '57'}, {'Over': '6', 'Runs': '63'}]")</f>
        <v>[{'Over': '1', 'Runs': '6'}, {'Over': '2', 'Runs': '26'}, {'Over': '3', 'Runs': '44'}, {'Over': '4', 'Runs': '49'}, {'Over': '5', 'Runs': '57'}, {'Over': '6', 'Runs': '63'}]</v>
      </c>
      <c r="N42" s="5">
        <v>63.0</v>
      </c>
      <c r="O42" s="5" t="s">
        <v>294</v>
      </c>
      <c r="P42" s="6">
        <f t="shared" si="2"/>
        <v>-18</v>
      </c>
      <c r="Q42" s="2" t="s">
        <v>72</v>
      </c>
      <c r="R42" s="2" t="str">
        <f>IFERROR(__xludf.DUMMYFUNCTION("IFERROR(INDEX(SPLIT(H42, "" ""), 1, 1), """")"),"KKR")</f>
        <v>KKR</v>
      </c>
      <c r="S42" s="1" t="str">
        <f t="shared" si="3"/>
        <v>same</v>
      </c>
    </row>
    <row r="43">
      <c r="A43" s="2">
        <v>72.0</v>
      </c>
      <c r="B43" s="4" t="s">
        <v>295</v>
      </c>
      <c r="C43" s="4" t="s">
        <v>39</v>
      </c>
      <c r="D43" s="4" t="s">
        <v>22</v>
      </c>
      <c r="E43" s="4" t="s">
        <v>296</v>
      </c>
      <c r="F43" s="4" t="s">
        <v>30</v>
      </c>
      <c r="G43" s="4" t="s">
        <v>297</v>
      </c>
      <c r="H43" s="4" t="s">
        <v>298</v>
      </c>
      <c r="I43" s="4" t="s">
        <v>299</v>
      </c>
      <c r="J43" s="1" t="str">
        <f>IFERROR(__xludf.DUMMYFUNCTION("IFERROR(""[""&amp;REGEXREPLACE(REGEXEXTRACT(I43, ""(\{'Over': '1'.*?'Over': '6', 'Runs': '\d+', 'Wickets': '\d+'\})""), "", 'Wickets': '\d+'"", """")&amp;""]"", """")"),"[{'Over': '1', 'Runs': '13'}, {'Over': '2', 'Runs': '22'}, {'Over': '3', 'Runs': '29'}, {'Over': '4', 'Runs': '45'}, {'Over': '5', 'Runs': '57'}, {'Over': '6', 'Runs': '68'}]")</f>
        <v>[{'Over': '1', 'Runs': '13'}, {'Over': '2', 'Runs': '22'}, {'Over': '3', 'Runs': '29'}, {'Over': '4', 'Runs': '45'}, {'Over': '5', 'Runs': '57'}, {'Over': '6', 'Runs': '68'}]</v>
      </c>
      <c r="K43" s="5">
        <v>68.0</v>
      </c>
      <c r="L43" s="4" t="s">
        <v>300</v>
      </c>
      <c r="M43" s="1" t="str">
        <f>IFERROR(__xludf.DUMMYFUNCTION("IFERROR(""[""&amp;REGEXREPLACE(REGEXEXTRACT(L43, ""(\{'Over': '1'.*?'Over': '6', 'Runs': '\d+', 'Wickets': '\d+'\})""), "", 'Wickets': '\d+'"", """")&amp;""]"", ""N/A or Invalid Data"")"),"[{'Over': '1', 'Runs': '8'}, {'Over': '2', 'Runs': '13'}, {'Over': '3', 'Runs': '19'}, {'Over': '4', 'Runs': '24'}, {'Over': '5', 'Runs': '32'}, {'Over': '6', 'Runs': '51'}]")</f>
        <v>[{'Over': '1', 'Runs': '8'}, {'Over': '2', 'Runs': '13'}, {'Over': '3', 'Runs': '19'}, {'Over': '4', 'Runs': '24'}, {'Over': '5', 'Runs': '32'}, {'Over': '6', 'Runs': '51'}]</v>
      </c>
      <c r="N43" s="5">
        <v>51.0</v>
      </c>
      <c r="O43" s="5" t="s">
        <v>301</v>
      </c>
      <c r="P43" s="6">
        <f t="shared" si="2"/>
        <v>17</v>
      </c>
      <c r="Q43" s="2" t="s">
        <v>27</v>
      </c>
      <c r="R43" s="2" t="str">
        <f>IFERROR(__xludf.DUMMYFUNCTION("IFERROR(INDEX(SPLIT(H43, "" ""), 1, 1), """")"),"SRH")</f>
        <v>SRH</v>
      </c>
      <c r="S43" s="1" t="str">
        <f t="shared" si="3"/>
        <v>same</v>
      </c>
    </row>
    <row r="44">
      <c r="A44" s="2">
        <v>73.0</v>
      </c>
      <c r="B44" s="4" t="s">
        <v>302</v>
      </c>
      <c r="C44" s="4" t="s">
        <v>39</v>
      </c>
      <c r="D44" s="4" t="s">
        <v>22</v>
      </c>
      <c r="E44" s="4">
        <v>113.0</v>
      </c>
      <c r="F44" s="4" t="s">
        <v>20</v>
      </c>
      <c r="G44" s="4" t="s">
        <v>303</v>
      </c>
      <c r="H44" s="4" t="s">
        <v>304</v>
      </c>
      <c r="I44" s="4" t="s">
        <v>305</v>
      </c>
      <c r="J44" s="1" t="str">
        <f>IFERROR(__xludf.DUMMYFUNCTION("IFERROR(""[""&amp;REGEXREPLACE(REGEXEXTRACT(I44, ""(\{'Over': '1'.*?'Over': '6', 'Runs': '\d+', 'Wickets': '\d+'\})""), "", 'Wickets': '\d+'"", """")&amp;""]"", """")"),"[{'Over': '1', 'Runs': '3'}, {'Over': '2', 'Runs': '6'}, {'Over': '3', 'Runs': '15'}, {'Over': '4', 'Runs': '21'}, {'Over': '5', 'Runs': '23'}, {'Over': '6', 'Runs': '40'}]")</f>
        <v>[{'Over': '1', 'Runs': '3'}, {'Over': '2', 'Runs': '6'}, {'Over': '3', 'Runs': '15'}, {'Over': '4', 'Runs': '21'}, {'Over': '5', 'Runs': '23'}, {'Over': '6', 'Runs': '40'}]</v>
      </c>
      <c r="K44" s="5">
        <v>40.0</v>
      </c>
      <c r="L44" s="4" t="s">
        <v>306</v>
      </c>
      <c r="M44" s="1" t="str">
        <f>IFERROR(__xludf.DUMMYFUNCTION("IFERROR(""[""&amp;REGEXREPLACE(REGEXEXTRACT(L44, ""(\{'Over': '1'.*?'Over': '6', 'Runs': '\d+', 'Wickets': '\d+'\})""), "", 'Wickets': '\d+'"", """")&amp;""]"", ""N/A or Invalid Data"")"),"[{'Over': '1', 'Runs': '5'}, {'Over': '2', 'Runs': '17'}, {'Over': '3', 'Runs': '37'}, {'Over': '4', 'Runs': '46'}, {'Over': '5', 'Runs': '52'}, {'Over': '6', 'Runs': '72'}]")</f>
        <v>[{'Over': '1', 'Runs': '5'}, {'Over': '2', 'Runs': '17'}, {'Over': '3', 'Runs': '37'}, {'Over': '4', 'Runs': '46'}, {'Over': '5', 'Runs': '52'}, {'Over': '6', 'Runs': '72'}]</v>
      </c>
      <c r="N44" s="5">
        <v>72.0</v>
      </c>
      <c r="O44" s="5" t="s">
        <v>307</v>
      </c>
      <c r="P44" s="6">
        <f t="shared" si="2"/>
        <v>-32</v>
      </c>
      <c r="Q44" s="2" t="s">
        <v>72</v>
      </c>
      <c r="R44" s="2" t="str">
        <f>IFERROR(__xludf.DUMMYFUNCTION("IFERROR(INDEX(SPLIT(H44, "" ""), 1, 1), """")"),"KKR")</f>
        <v>KKR</v>
      </c>
      <c r="S44" s="1" t="str">
        <f t="shared" si="3"/>
        <v>same</v>
      </c>
    </row>
  </sheetData>
  <drawing r:id="rId1"/>
</worksheet>
</file>